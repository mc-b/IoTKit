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Euro Project Office\Projects\swissICT\SwiSMA\Meetings\2016-03-04 10th Meeting\IoT Product Development\Figures\"/>
    </mc:Choice>
  </mc:AlternateContent>
  <bookViews>
    <workbookView xWindow="12705" yWindow="-15" windowWidth="12495" windowHeight="10335" activeTab="7"/>
  </bookViews>
  <sheets>
    <sheet name="Layer Identification" sheetId="12" r:id="rId1"/>
    <sheet name="Application Boundary" sheetId="3" r:id="rId2"/>
    <sheet name="User Stories" sheetId="10" r:id="rId3"/>
    <sheet name="Objects Of Interest" sheetId="9" r:id="rId4"/>
    <sheet name="Trigger Events" sheetId="4" r:id="rId5"/>
    <sheet name="Data Movements" sheetId="6" r:id="rId6"/>
    <sheet name="Data Groups" sheetId="5" r:id="rId7"/>
    <sheet name="Counting Sheet" sheetId="8" r:id="rId8"/>
    <sheet name="How to Use" sheetId="7" r:id="rId9"/>
  </sheets>
  <functionGroups builtInGroupCount="18"/>
  <definedNames>
    <definedName name="BoundaryOverview" localSheetId="1">'Application Boundary'!$C$3</definedName>
    <definedName name="CFP" localSheetId="5">'Data Movements'!$W$69</definedName>
    <definedName name="CFP_E" localSheetId="5">'Data Movements'!$T$67</definedName>
    <definedName name="CFP_Flag" localSheetId="5">'Data Movements'!$T$5:$W$66</definedName>
    <definedName name="CFP_Movs" localSheetId="5">'Data Movements'!$T$67:$W$67</definedName>
    <definedName name="CFP_R" localSheetId="5">'Data Movements'!$V$67</definedName>
    <definedName name="CFP_Tags" localSheetId="5">'Data Movements'!$T$4:$W$4</definedName>
    <definedName name="CFP_W" localSheetId="5">'Data Movements'!$W$67</definedName>
    <definedName name="CFP_X" localSheetId="5">'Data Movements'!$U$67</definedName>
    <definedName name="Check1" localSheetId="5">'Data Movements'!$P$5:$P$66</definedName>
    <definedName name="Check2" localSheetId="5">'Data Movements'!$Q$5:$Q$66</definedName>
    <definedName name="Check3" localSheetId="5">'Data Movements'!$R$5:$R$66</definedName>
    <definedName name="Check4" localSheetId="5">'Data Movements'!$S$5:$S$66</definedName>
    <definedName name="CheckDataGroups" localSheetId="8">'How to Use'!$L$28</definedName>
    <definedName name="CheckTriggers" localSheetId="8">'How to Use'!$L$27</definedName>
    <definedName name="CosmicChecks" localSheetId="5">'Data Movements'!$P$5:$S$66</definedName>
    <definedName name="DataGroup" localSheetId="5">'Data Movements'!$M$5:$M$66</definedName>
    <definedName name="DataGroups_ValidationList">'Data Groups'!$J$5:$J$19</definedName>
    <definedName name="DataIndex" localSheetId="6">'Data Groups'!$B$5:$B$21</definedName>
    <definedName name="DataIndex" localSheetId="5">'Data Movements'!$B$5:$B$66</definedName>
    <definedName name="DataIndex" localSheetId="3">'Objects Of Interest'!$B$5:$B$20</definedName>
    <definedName name="DataIndex" localSheetId="4">'Trigger Events'!$B$5:$B$14</definedName>
    <definedName name="DataIndex" localSheetId="2">'User Stories'!$B$5:$B$14</definedName>
    <definedName name="DataMovements" localSheetId="6">'Data Groups'!$G$5:$G$21</definedName>
    <definedName name="DataMovements_ValidationList">'Data Movements'!$Z$5:$Z$64</definedName>
    <definedName name="DataOwner" localSheetId="6">'Data Groups'!$F$5:$F$21</definedName>
    <definedName name="Description" localSheetId="6">'Data Groups'!$E$5:$E$21</definedName>
    <definedName name="Description" localSheetId="5">'Data Movements'!$E$5:$E$66</definedName>
    <definedName name="Description" localSheetId="3">'Objects Of Interest'!$E$5:$E$20</definedName>
    <definedName name="Description" localSheetId="4">'Trigger Events'!$E$5:$E$14</definedName>
    <definedName name="Direction" localSheetId="5">'Data Movements'!$J$5:$J$66</definedName>
    <definedName name="E_ValidationList">'Data Movements'!$AA$5:$AA$25</definedName>
    <definedName name="EntryMovements" localSheetId="2">'User Stories'!$I$5:$I$14</definedName>
    <definedName name="FormulaStore" localSheetId="6">'Data Groups'!$B$5:$G$5</definedName>
    <definedName name="FormulaStore" localSheetId="5">'Data Movements'!$B$5:$W$5</definedName>
    <definedName name="FormulaStore" localSheetId="0">'Layer Identification'!$D$5:$E$5</definedName>
    <definedName name="FormulaStore" localSheetId="3">'Objects Of Interest'!$B$5:$I$5</definedName>
    <definedName name="FormulaStore" localSheetId="4">'Trigger Events'!$B$5:$J$5</definedName>
    <definedName name="FormulaStore" localSheetId="2">'User Stories'!$B$5:$K$5</definedName>
    <definedName name="FunctionalProcess" localSheetId="5">'Data Movements'!$H$5:$H$66</definedName>
    <definedName name="FunctionalProcess" localSheetId="4">'Trigger Events'!$H$5:$H$14</definedName>
    <definedName name="FunctionalProcess_ValidationList">'Objects Of Interest'!$K$5:$K$8</definedName>
    <definedName name="FunctionalUser" localSheetId="4">'Trigger Events'!$F$5:$F$14</definedName>
    <definedName name="GrantRuleFURs" localSheetId="2">'User Stories'!$E$5:$H$14</definedName>
    <definedName name="Label" localSheetId="6">'Data Groups'!$D$5:$D$21</definedName>
    <definedName name="Label" localSheetId="5">'Data Movements'!$D$5:$D$66</definedName>
    <definedName name="Label" localSheetId="3">'Objects Of Interest'!$D$5:$D$20</definedName>
    <definedName name="Label" localSheetId="4">'Trigger Events'!$D$5:$D$14</definedName>
    <definedName name="Label" localSheetId="2">'User Stories'!$D$5:$D$14</definedName>
    <definedName name="LastIndex" localSheetId="6">'Data Groups'!$B$21</definedName>
    <definedName name="LastIndex" localSheetId="5">'Data Movements'!$B$66</definedName>
    <definedName name="LastIndex" localSheetId="0">'Layer Identification'!$B$21</definedName>
    <definedName name="LastIndex" localSheetId="3">'Objects Of Interest'!$B$20</definedName>
    <definedName name="LastIndex" localSheetId="4">'Trigger Events'!$B$14</definedName>
    <definedName name="LastIndex" localSheetId="2">'User Stories'!$B$14</definedName>
    <definedName name="Link" localSheetId="3">'Objects Of Interest'!$H$5:$H$20</definedName>
    <definedName name="Name" localSheetId="6">'Data Groups'!$C$5:$C$21</definedName>
    <definedName name="Name" localSheetId="5">'Data Movements'!$C$5:$C$66</definedName>
    <definedName name="Name" localSheetId="3">'Objects Of Interest'!$C$5:$C$20</definedName>
    <definedName name="Name" localSheetId="4">'Trigger Events'!$C$5:$C$14</definedName>
    <definedName name="Name" localSheetId="2">'User Stories'!$C$5:$C$14</definedName>
    <definedName name="ObjectReference" localSheetId="5">'Data Movements'!$K$5:$K$66</definedName>
    <definedName name="ObjectReference_ValidationList">'Objects Of Interest'!$L$5:$L$14</definedName>
    <definedName name="SequenceDiagram">'Counting Sheet'!$A$1:$O$64</definedName>
    <definedName name="TriggerPosition" localSheetId="5">'Data Movements'!$F$5:$F$66</definedName>
    <definedName name="TriggerPosition" localSheetId="4">'Trigger Events'!$J$5:$J$14</definedName>
    <definedName name="Type" localSheetId="3">'Objects Of Interest'!$F$5:$F$20</definedName>
    <definedName name="Unique" localSheetId="5">'Data Movements'!$O$5:$O$66</definedName>
  </definedNames>
  <calcPr calcId="171027"/>
</workbook>
</file>

<file path=xl/calcChain.xml><?xml version="1.0" encoding="utf-8"?>
<calcChain xmlns="http://schemas.openxmlformats.org/spreadsheetml/2006/main">
  <c r="J5" i="6" l="1"/>
  <c r="F5" i="9"/>
  <c r="L7" i="6"/>
  <c r="N20" i="6"/>
  <c r="B32" i="6"/>
  <c r="F45" i="6"/>
  <c r="I58" i="6"/>
  <c r="G19" i="9"/>
  <c r="N9" i="6"/>
  <c r="B21" i="6"/>
  <c r="F34" i="6"/>
  <c r="I47" i="6"/>
  <c r="L60" i="6"/>
  <c r="K9" i="10"/>
  <c r="L9" i="6"/>
  <c r="N22" i="6"/>
  <c r="B34" i="6"/>
  <c r="F47" i="6"/>
  <c r="I60" i="6"/>
  <c r="N47" i="6"/>
  <c r="N11" i="6"/>
  <c r="B23" i="6"/>
  <c r="F36" i="6"/>
  <c r="I49" i="6"/>
  <c r="L62" i="6"/>
  <c r="B6" i="4"/>
  <c r="B12" i="6"/>
  <c r="F25" i="6"/>
  <c r="I38" i="6"/>
  <c r="L51" i="6"/>
  <c r="N64" i="6"/>
  <c r="G47" i="6"/>
  <c r="N39" i="6"/>
  <c r="F6" i="6"/>
  <c r="I19" i="6"/>
  <c r="L32" i="6"/>
  <c r="N45" i="6"/>
  <c r="B57" i="6"/>
  <c r="B17" i="9"/>
  <c r="B11" i="6"/>
  <c r="B6" i="6"/>
  <c r="F19" i="6"/>
  <c r="I32" i="6"/>
  <c r="L45" i="6"/>
  <c r="N58" i="6"/>
  <c r="G18" i="9"/>
  <c r="I13" i="6"/>
  <c r="G11" i="5"/>
  <c r="B19" i="5"/>
  <c r="H5" i="4"/>
  <c r="B19" i="9"/>
  <c r="B8" i="5"/>
  <c r="G10" i="5"/>
  <c r="B8" i="6"/>
  <c r="F21" i="6"/>
  <c r="I34" i="6"/>
  <c r="L47" i="6"/>
  <c r="N60" i="6"/>
  <c r="G21" i="6"/>
  <c r="F10" i="6"/>
  <c r="I23" i="6"/>
  <c r="L36" i="6"/>
  <c r="N49" i="6"/>
  <c r="B61" i="6"/>
  <c r="B11" i="10"/>
  <c r="B10" i="6"/>
  <c r="F23" i="6"/>
  <c r="I36" i="6"/>
  <c r="L49" i="6"/>
  <c r="N62" i="6"/>
  <c r="L58" i="6"/>
  <c r="F12" i="6"/>
  <c r="I25" i="6"/>
  <c r="L38" i="6"/>
  <c r="N51" i="6"/>
  <c r="B63" i="6"/>
  <c r="B8" i="4"/>
  <c r="I14" i="6"/>
  <c r="L27" i="6"/>
  <c r="N40" i="6"/>
  <c r="B52" i="6"/>
  <c r="F65" i="6"/>
  <c r="F48" i="6"/>
  <c r="L8" i="6"/>
  <c r="N21" i="6"/>
  <c r="B33" i="6"/>
  <c r="F46" i="6"/>
  <c r="I59" i="6"/>
  <c r="G23" i="6"/>
  <c r="L18" i="6"/>
  <c r="I8" i="6"/>
  <c r="L21" i="6"/>
  <c r="N34" i="6"/>
  <c r="B46" i="6"/>
  <c r="F59" i="6"/>
  <c r="B19" i="6"/>
  <c r="G34" i="6"/>
  <c r="G15" i="5"/>
  <c r="G5" i="5"/>
  <c r="G13" i="5"/>
  <c r="B12" i="5"/>
  <c r="G14" i="5"/>
  <c r="J10" i="10"/>
  <c r="G11" i="4"/>
  <c r="N44" i="6"/>
  <c r="B45" i="6"/>
  <c r="L33" i="6"/>
  <c r="L22" i="6"/>
  <c r="L11" i="6"/>
  <c r="F32" i="6"/>
  <c r="B13" i="9"/>
  <c r="H13" i="4"/>
  <c r="F8" i="6"/>
  <c r="J11" i="10"/>
  <c r="G10" i="4"/>
  <c r="K11" i="10"/>
  <c r="I10" i="6"/>
  <c r="L23" i="6"/>
  <c r="N36" i="6"/>
  <c r="B48" i="6"/>
  <c r="F61" i="6"/>
  <c r="I63" i="6"/>
  <c r="L12" i="6"/>
  <c r="N25" i="6"/>
  <c r="B37" i="6"/>
  <c r="F50" i="6"/>
  <c r="N65" i="6"/>
  <c r="H6" i="4"/>
  <c r="I12" i="6"/>
  <c r="L25" i="6"/>
  <c r="N38" i="6"/>
  <c r="B50" i="6"/>
  <c r="F63" i="6"/>
  <c r="N7" i="6"/>
  <c r="B6" i="9"/>
  <c r="L14" i="6"/>
  <c r="N27" i="6"/>
  <c r="B39" i="6"/>
  <c r="F52" i="6"/>
  <c r="I65" i="6"/>
  <c r="I29" i="6"/>
  <c r="B10" i="4"/>
  <c r="N16" i="6"/>
  <c r="B28" i="6"/>
  <c r="F41" i="6"/>
  <c r="I54" i="6"/>
  <c r="G9" i="9"/>
  <c r="G36" i="6"/>
  <c r="I61" i="6"/>
  <c r="B9" i="6"/>
  <c r="F22" i="6"/>
  <c r="G22" i="6" s="1"/>
  <c r="I35" i="6"/>
  <c r="L48" i="6"/>
  <c r="N61" i="6"/>
  <c r="G6" i="6"/>
  <c r="B27" i="6"/>
  <c r="B7" i="10"/>
  <c r="N10" i="6"/>
  <c r="B22" i="6"/>
  <c r="F35" i="6"/>
  <c r="I48" i="6"/>
  <c r="L61" i="6"/>
  <c r="F24" i="6"/>
  <c r="B6" i="5"/>
  <c r="G19" i="5"/>
  <c r="I14" i="4"/>
  <c r="B5" i="5"/>
  <c r="B16" i="5"/>
  <c r="B5" i="9"/>
  <c r="G18" i="5"/>
  <c r="J8" i="10"/>
  <c r="G7" i="4"/>
  <c r="G15" i="9"/>
  <c r="I7" i="6"/>
  <c r="F7" i="6"/>
  <c r="F40" i="6"/>
  <c r="G40" i="6" s="1"/>
  <c r="G7" i="6"/>
  <c r="L56" i="6"/>
  <c r="B30" i="6"/>
  <c r="F64" i="6"/>
  <c r="G5" i="9"/>
  <c r="G9" i="4"/>
  <c r="B13" i="10"/>
  <c r="N12" i="6"/>
  <c r="B24" i="6"/>
  <c r="F37" i="6"/>
  <c r="G37" i="6" s="1"/>
  <c r="I50" i="6"/>
  <c r="L63" i="6"/>
  <c r="B51" i="6"/>
  <c r="B13" i="6"/>
  <c r="F26" i="6"/>
  <c r="G26" i="6" s="1"/>
  <c r="I39" i="6"/>
  <c r="L52" i="6"/>
  <c r="B7" i="9"/>
  <c r="H8" i="4"/>
  <c r="N14" i="6"/>
  <c r="B26" i="6"/>
  <c r="F39" i="6"/>
  <c r="G39" i="6" s="1"/>
  <c r="I52" i="6"/>
  <c r="L65" i="6"/>
  <c r="N15" i="6"/>
  <c r="B6" i="10"/>
  <c r="B15" i="6"/>
  <c r="F28" i="6"/>
  <c r="I41" i="6"/>
  <c r="L54" i="6"/>
  <c r="B8" i="9"/>
  <c r="L42" i="6"/>
  <c r="B12" i="4"/>
  <c r="F17" i="6"/>
  <c r="G17" i="6" s="1"/>
  <c r="I30" i="6"/>
  <c r="L43" i="6"/>
  <c r="N56" i="6"/>
  <c r="G13" i="9"/>
  <c r="K8" i="10"/>
  <c r="B14" i="9"/>
  <c r="I11" i="6"/>
  <c r="L24" i="6"/>
  <c r="N37" i="6"/>
  <c r="B49" i="6"/>
  <c r="F62" i="6"/>
  <c r="G45" i="6"/>
  <c r="L34" i="6"/>
  <c r="K13" i="10"/>
  <c r="F11" i="6"/>
  <c r="I24" i="6"/>
  <c r="L37" i="6"/>
  <c r="N50" i="6"/>
  <c r="B62" i="6"/>
  <c r="G61" i="6"/>
  <c r="N31" i="6"/>
  <c r="B10" i="5"/>
  <c r="K5" i="10"/>
  <c r="B5" i="6"/>
  <c r="B20" i="5"/>
  <c r="G9" i="5"/>
  <c r="B9" i="5"/>
  <c r="N5" i="6"/>
  <c r="J6" i="10"/>
  <c r="G12" i="4"/>
  <c r="B56" i="6"/>
  <c r="L20" i="6"/>
  <c r="I20" i="6"/>
  <c r="I9" i="6"/>
  <c r="B9" i="10"/>
  <c r="I62" i="6"/>
  <c r="I43" i="6"/>
  <c r="N18" i="6"/>
  <c r="F5" i="6"/>
  <c r="B7" i="4"/>
  <c r="F13" i="6"/>
  <c r="I26" i="6"/>
  <c r="L39" i="6"/>
  <c r="N52" i="6"/>
  <c r="B64" i="6"/>
  <c r="B18" i="9"/>
  <c r="I15" i="6"/>
  <c r="L28" i="6"/>
  <c r="N41" i="6"/>
  <c r="B53" i="6"/>
  <c r="B11" i="9"/>
  <c r="H10" i="4"/>
  <c r="F15" i="6"/>
  <c r="I28" i="6"/>
  <c r="L41" i="6"/>
  <c r="N54" i="6"/>
  <c r="G8" i="9"/>
  <c r="I21" i="6"/>
  <c r="K12" i="10"/>
  <c r="I17" i="6"/>
  <c r="L30" i="6"/>
  <c r="N43" i="6"/>
  <c r="B55" i="6"/>
  <c r="B12" i="9"/>
  <c r="I53" i="6"/>
  <c r="I6" i="6"/>
  <c r="L19" i="6"/>
  <c r="N32" i="6"/>
  <c r="B44" i="6"/>
  <c r="F57" i="6"/>
  <c r="G17" i="9"/>
  <c r="L10" i="6"/>
  <c r="K10" i="10"/>
  <c r="N13" i="6"/>
  <c r="B25" i="6"/>
  <c r="F38" i="6"/>
  <c r="I51" i="6"/>
  <c r="L64" i="6"/>
  <c r="B43" i="6"/>
  <c r="H7" i="4"/>
  <c r="L13" i="6"/>
  <c r="N26" i="6"/>
  <c r="B38" i="6"/>
  <c r="F51" i="6"/>
  <c r="I64" i="6"/>
  <c r="G35" i="6"/>
  <c r="I37" i="6"/>
  <c r="B14" i="5"/>
  <c r="B5" i="4"/>
  <c r="G8" i="5"/>
  <c r="G17" i="5"/>
  <c r="B13" i="5"/>
  <c r="I5" i="6"/>
  <c r="G6" i="4"/>
  <c r="G13" i="4"/>
  <c r="L31" i="6"/>
  <c r="F58" i="6"/>
  <c r="N46" i="6"/>
  <c r="B47" i="6"/>
  <c r="F49" i="6"/>
  <c r="F30" i="6"/>
  <c r="B10" i="9"/>
  <c r="G14" i="9"/>
  <c r="G20" i="5"/>
  <c r="G6" i="5"/>
  <c r="J7" i="10"/>
  <c r="B9" i="4"/>
  <c r="L15" i="6"/>
  <c r="N28" i="6"/>
  <c r="B40" i="6"/>
  <c r="F53" i="6"/>
  <c r="G7" i="9"/>
  <c r="K6" i="10"/>
  <c r="N17" i="6"/>
  <c r="B29" i="6"/>
  <c r="F42" i="6"/>
  <c r="I55" i="6"/>
  <c r="B15" i="9"/>
  <c r="H12" i="4"/>
  <c r="L17" i="6"/>
  <c r="N30" i="6"/>
  <c r="B42" i="6"/>
  <c r="F55" i="6"/>
  <c r="G55" i="6" s="1"/>
  <c r="G12" i="9"/>
  <c r="L26" i="6"/>
  <c r="L6" i="6"/>
  <c r="N19" i="6"/>
  <c r="B31" i="6"/>
  <c r="F44" i="6"/>
  <c r="I57" i="6"/>
  <c r="B16" i="9"/>
  <c r="N63" i="6"/>
  <c r="N8" i="6"/>
  <c r="B20" i="6"/>
  <c r="F33" i="6"/>
  <c r="I46" i="6"/>
  <c r="L59" i="6"/>
  <c r="G10" i="6"/>
  <c r="F16" i="6"/>
  <c r="B12" i="10"/>
  <c r="F14" i="6"/>
  <c r="G14" i="6" s="1"/>
  <c r="I27" i="6"/>
  <c r="L40" i="6"/>
  <c r="N53" i="6"/>
  <c r="B65" i="6"/>
  <c r="O28" i="6"/>
  <c r="G48" i="6"/>
  <c r="L50" i="6"/>
  <c r="H9" i="4"/>
  <c r="B14" i="6"/>
  <c r="F27" i="6"/>
  <c r="I40" i="6"/>
  <c r="L53" i="6"/>
  <c r="G6" i="9"/>
  <c r="O29" i="6"/>
  <c r="I45" i="6"/>
  <c r="B18" i="5"/>
  <c r="B7" i="5"/>
  <c r="G12" i="5"/>
  <c r="O5" i="6"/>
  <c r="B17" i="5"/>
  <c r="O55" i="6"/>
  <c r="O49" i="6"/>
  <c r="O6" i="6"/>
  <c r="O27" i="6"/>
  <c r="U28" i="6"/>
  <c r="U6" i="6"/>
  <c r="U27" i="6"/>
  <c r="J12" i="10"/>
  <c r="G5" i="4"/>
  <c r="I18" i="6"/>
  <c r="N55" i="6"/>
  <c r="G58" i="6"/>
  <c r="F60" i="6"/>
  <c r="G60" i="6" s="1"/>
  <c r="B36" i="6"/>
  <c r="J11" i="4"/>
  <c r="B10" i="10"/>
  <c r="F43" i="6"/>
  <c r="G7" i="5"/>
  <c r="J5" i="10"/>
  <c r="B11" i="4"/>
  <c r="B16" i="6"/>
  <c r="O16" i="6" s="1"/>
  <c r="F29" i="6"/>
  <c r="G29" i="6" s="1"/>
  <c r="I42" i="6"/>
  <c r="L55" i="6"/>
  <c r="G11" i="9"/>
  <c r="B8" i="10"/>
  <c r="F18" i="6"/>
  <c r="G18" i="6" s="1"/>
  <c r="I31" i="6"/>
  <c r="L44" i="6"/>
  <c r="N57" i="6"/>
  <c r="G53" i="6"/>
  <c r="N6" i="6"/>
  <c r="B18" i="6"/>
  <c r="F31" i="6"/>
  <c r="G31" i="6" s="1"/>
  <c r="I44" i="6"/>
  <c r="L57" i="6"/>
  <c r="G16" i="9"/>
  <c r="B35" i="6"/>
  <c r="B7" i="6"/>
  <c r="F20" i="6"/>
  <c r="G20" i="6" s="1"/>
  <c r="I33" i="6"/>
  <c r="L46" i="6"/>
  <c r="N59" i="6"/>
  <c r="G13" i="6"/>
  <c r="K7" i="10"/>
  <c r="F9" i="6"/>
  <c r="I22" i="6"/>
  <c r="L35" i="6"/>
  <c r="N48" i="6"/>
  <c r="B60" i="6"/>
  <c r="G15" i="6"/>
  <c r="N23" i="6"/>
  <c r="J7" i="4"/>
  <c r="L16" i="6"/>
  <c r="N29" i="6"/>
  <c r="B41" i="6"/>
  <c r="F54" i="6"/>
  <c r="B9" i="9"/>
  <c r="O20" i="6"/>
  <c r="G52" i="6"/>
  <c r="B59" i="6"/>
  <c r="H11" i="4"/>
  <c r="I16" i="6"/>
  <c r="L29" i="6"/>
  <c r="N42" i="6"/>
  <c r="B54" i="6"/>
  <c r="O54" i="6" s="1"/>
  <c r="G10" i="9"/>
  <c r="O21" i="6"/>
  <c r="G57" i="6"/>
  <c r="F56" i="6"/>
  <c r="B5" i="10"/>
  <c r="B11" i="5"/>
  <c r="G16" i="5"/>
  <c r="U29" i="6"/>
  <c r="L5" i="6"/>
  <c r="O63" i="6"/>
  <c r="O62" i="6"/>
  <c r="O57" i="6"/>
  <c r="O10" i="6"/>
  <c r="O35" i="6"/>
  <c r="U20" i="6"/>
  <c r="T55" i="6"/>
  <c r="V54" i="6"/>
  <c r="T49" i="6"/>
  <c r="V6" i="6"/>
  <c r="V16" i="6"/>
  <c r="T27" i="6"/>
  <c r="G8" i="4"/>
  <c r="J13" i="10"/>
  <c r="B13" i="4"/>
  <c r="N33" i="6"/>
  <c r="B58" i="6"/>
  <c r="N35" i="6"/>
  <c r="N24" i="6"/>
  <c r="B17" i="6"/>
  <c r="O12" i="6"/>
  <c r="I56" i="6"/>
  <c r="B15" i="5"/>
  <c r="O65" i="6"/>
  <c r="W57" i="6"/>
  <c r="J9" i="10"/>
  <c r="O43" i="6"/>
  <c r="O19" i="6"/>
  <c r="O56" i="6"/>
  <c r="O41" i="6"/>
  <c r="O46" i="6"/>
  <c r="O47" i="6"/>
  <c r="O37" i="6"/>
  <c r="O36" i="6"/>
  <c r="O58" i="6"/>
  <c r="O13" i="6"/>
  <c r="O11" i="6"/>
  <c r="O40" i="6"/>
  <c r="O33" i="6"/>
  <c r="O38" i="6"/>
  <c r="O39" i="6"/>
  <c r="O45" i="6"/>
  <c r="O44" i="6"/>
  <c r="O18" i="6"/>
  <c r="O64" i="6"/>
  <c r="O24" i="6"/>
  <c r="O25" i="6"/>
  <c r="O30" i="6"/>
  <c r="O31" i="6"/>
  <c r="O53" i="6"/>
  <c r="O52" i="6"/>
  <c r="O26" i="6"/>
  <c r="O59" i="6"/>
  <c r="O48" i="6"/>
  <c r="O8" i="6"/>
  <c r="O17" i="6"/>
  <c r="O22" i="6"/>
  <c r="O23" i="6"/>
  <c r="O61" i="6"/>
  <c r="O60" i="6"/>
  <c r="O51" i="6"/>
  <c r="O32" i="6"/>
  <c r="O34" i="6"/>
  <c r="O9" i="6"/>
  <c r="O14" i="6"/>
  <c r="O15" i="6"/>
  <c r="O50" i="6"/>
  <c r="O42" i="6"/>
  <c r="V28" i="6"/>
  <c r="T28" i="6"/>
  <c r="W28" i="6"/>
  <c r="V29" i="6"/>
  <c r="T29" i="6"/>
  <c r="W29" i="6"/>
  <c r="V55" i="6"/>
  <c r="W55" i="6"/>
  <c r="U49" i="6"/>
  <c r="W49" i="6"/>
  <c r="T6" i="6"/>
  <c r="W6" i="6"/>
  <c r="V27" i="6"/>
  <c r="W27" i="6"/>
  <c r="U16" i="6"/>
  <c r="T16" i="6"/>
  <c r="W16" i="6"/>
  <c r="W20" i="6"/>
  <c r="V20" i="6"/>
  <c r="T20" i="6"/>
  <c r="V49" i="6"/>
  <c r="U55" i="6"/>
  <c r="U54" i="6"/>
  <c r="T54" i="6"/>
  <c r="W54" i="6"/>
  <c r="U21" i="6"/>
  <c r="V21" i="6"/>
  <c r="T21" i="6"/>
  <c r="W21" i="6"/>
  <c r="W63" i="6"/>
  <c r="T63" i="6"/>
  <c r="U63" i="6"/>
  <c r="V63" i="6"/>
  <c r="W62" i="6"/>
  <c r="V62" i="6"/>
  <c r="U62" i="6"/>
  <c r="T62" i="6"/>
  <c r="T57" i="6"/>
  <c r="V57" i="6"/>
  <c r="U57" i="6"/>
  <c r="V10" i="6"/>
  <c r="W10" i="6"/>
  <c r="U10" i="6"/>
  <c r="T10" i="6"/>
  <c r="W35" i="6"/>
  <c r="T35" i="6"/>
  <c r="U35" i="6"/>
  <c r="V35" i="6"/>
  <c r="W12" i="6"/>
  <c r="V12" i="6"/>
  <c r="T12" i="6"/>
  <c r="U12" i="6"/>
  <c r="W65" i="6"/>
  <c r="U65" i="6"/>
  <c r="V65" i="6"/>
  <c r="T65" i="6"/>
  <c r="V43" i="6"/>
  <c r="T43" i="6"/>
  <c r="U43" i="6"/>
  <c r="W43" i="6"/>
  <c r="W19" i="6"/>
  <c r="T19" i="6"/>
  <c r="U19" i="6"/>
  <c r="V19" i="6"/>
  <c r="T56" i="6"/>
  <c r="V56" i="6"/>
  <c r="U56" i="6"/>
  <c r="W56" i="6"/>
  <c r="T41" i="6"/>
  <c r="W41" i="6"/>
  <c r="U41" i="6"/>
  <c r="V41" i="6"/>
  <c r="W46" i="6"/>
  <c r="V46" i="6"/>
  <c r="U46" i="6"/>
  <c r="T46" i="6"/>
  <c r="W47" i="6"/>
  <c r="T47" i="6"/>
  <c r="U47" i="6"/>
  <c r="V47" i="6"/>
  <c r="U37" i="6"/>
  <c r="V37" i="6"/>
  <c r="T37" i="6"/>
  <c r="W37" i="6"/>
  <c r="V36" i="6"/>
  <c r="U36" i="6"/>
  <c r="T36" i="6"/>
  <c r="W36" i="6"/>
  <c r="V58" i="6"/>
  <c r="U58" i="6"/>
  <c r="T58" i="6"/>
  <c r="W58" i="6"/>
  <c r="V13" i="6"/>
  <c r="U13" i="6"/>
  <c r="T13" i="6"/>
  <c r="W13" i="6"/>
  <c r="V11" i="6"/>
  <c r="T11" i="6"/>
  <c r="U11" i="6"/>
  <c r="W11" i="6"/>
  <c r="V40" i="6"/>
  <c r="U40" i="6"/>
  <c r="T40" i="6"/>
  <c r="W40" i="6"/>
  <c r="V33" i="6"/>
  <c r="T33" i="6"/>
  <c r="U33" i="6"/>
  <c r="W33" i="6"/>
  <c r="V38" i="6"/>
  <c r="U38" i="6"/>
  <c r="T38" i="6"/>
  <c r="W38" i="6"/>
  <c r="V39" i="6"/>
  <c r="T39" i="6"/>
  <c r="U39" i="6"/>
  <c r="W39" i="6"/>
  <c r="V45" i="6"/>
  <c r="T45" i="6"/>
  <c r="W45" i="6"/>
  <c r="U45" i="6"/>
  <c r="V44" i="6"/>
  <c r="T44" i="6"/>
  <c r="W44" i="6"/>
  <c r="U44" i="6"/>
  <c r="V18" i="6"/>
  <c r="U18" i="6"/>
  <c r="W18" i="6"/>
  <c r="T18" i="6"/>
  <c r="W64" i="6"/>
  <c r="V64" i="6"/>
  <c r="U64" i="6"/>
  <c r="T64" i="6"/>
  <c r="T24" i="6"/>
  <c r="V24" i="6"/>
  <c r="W24" i="6"/>
  <c r="U24" i="6"/>
  <c r="W25" i="6"/>
  <c r="V25" i="6"/>
  <c r="T25" i="6"/>
  <c r="U25" i="6"/>
  <c r="W30" i="6"/>
  <c r="V30" i="6"/>
  <c r="U30" i="6"/>
  <c r="T30" i="6"/>
  <c r="W31" i="6"/>
  <c r="V31" i="6"/>
  <c r="T31" i="6"/>
  <c r="U31" i="6"/>
  <c r="T53" i="6"/>
  <c r="V53" i="6"/>
  <c r="W53" i="6"/>
  <c r="U53" i="6"/>
  <c r="T52" i="6"/>
  <c r="V52" i="6"/>
  <c r="W52" i="6"/>
  <c r="U52" i="6"/>
  <c r="V26" i="6"/>
  <c r="U26" i="6"/>
  <c r="T26" i="6"/>
  <c r="W26" i="6"/>
  <c r="V59" i="6"/>
  <c r="T59" i="6"/>
  <c r="U59" i="6"/>
  <c r="W59" i="6"/>
  <c r="V48" i="6"/>
  <c r="W48" i="6"/>
  <c r="U48" i="6"/>
  <c r="T48" i="6"/>
  <c r="V8" i="6"/>
  <c r="U8" i="6"/>
  <c r="T8" i="6"/>
  <c r="W8" i="6"/>
  <c r="V17" i="6"/>
  <c r="T17" i="6"/>
  <c r="U17" i="6"/>
  <c r="W17" i="6"/>
  <c r="V22" i="6"/>
  <c r="U22" i="6"/>
  <c r="T22" i="6"/>
  <c r="W22" i="6"/>
  <c r="V23" i="6"/>
  <c r="T23" i="6"/>
  <c r="U23" i="6"/>
  <c r="W23" i="6"/>
  <c r="W61" i="6"/>
  <c r="V61" i="6"/>
  <c r="U61" i="6"/>
  <c r="T61" i="6"/>
  <c r="T60" i="6"/>
  <c r="U60" i="6"/>
  <c r="V60" i="6"/>
  <c r="W60" i="6"/>
  <c r="W51" i="6"/>
  <c r="V51" i="6"/>
  <c r="T51" i="6"/>
  <c r="U51" i="6"/>
  <c r="T32" i="6"/>
  <c r="V32" i="6"/>
  <c r="U32" i="6"/>
  <c r="W32" i="6"/>
  <c r="W34" i="6"/>
  <c r="V34" i="6"/>
  <c r="U34" i="6"/>
  <c r="T34" i="6"/>
  <c r="W9" i="6"/>
  <c r="T9" i="6"/>
  <c r="V9" i="6"/>
  <c r="U9" i="6"/>
  <c r="V14" i="6"/>
  <c r="W14" i="6"/>
  <c r="U14" i="6"/>
  <c r="T14" i="6"/>
  <c r="W15" i="6"/>
  <c r="T15" i="6"/>
  <c r="V15" i="6"/>
  <c r="U15" i="6"/>
  <c r="T50" i="6"/>
  <c r="V50" i="6"/>
  <c r="W50" i="6"/>
  <c r="U50" i="6"/>
  <c r="V42" i="6"/>
  <c r="T42" i="6"/>
  <c r="W42" i="6"/>
  <c r="U42" i="6"/>
  <c r="C7" i="10" l="1"/>
  <c r="C10" i="10"/>
  <c r="C12" i="10"/>
  <c r="C9" i="10"/>
  <c r="C6" i="10"/>
  <c r="C11" i="10"/>
  <c r="C8" i="10"/>
  <c r="C13" i="10"/>
  <c r="C5" i="10"/>
  <c r="G56" i="6"/>
  <c r="G33" i="6"/>
  <c r="G11" i="6"/>
  <c r="G63" i="6"/>
  <c r="G12" i="6"/>
  <c r="I10" i="4"/>
  <c r="I6" i="4"/>
  <c r="I7" i="4"/>
  <c r="G54" i="6"/>
  <c r="G44" i="6"/>
  <c r="G62" i="6"/>
  <c r="G50" i="6"/>
  <c r="G19" i="6"/>
  <c r="T5" i="6"/>
  <c r="I5" i="4"/>
  <c r="G65" i="6"/>
  <c r="I11" i="4"/>
  <c r="J5" i="4"/>
  <c r="G9" i="6"/>
  <c r="G42" i="6"/>
  <c r="J13" i="4"/>
  <c r="G8" i="6"/>
  <c r="J6" i="4"/>
  <c r="G5" i="6"/>
  <c r="O7" i="6"/>
  <c r="U7" i="6" s="1"/>
  <c r="G41" i="6"/>
  <c r="I13" i="4"/>
  <c r="J10" i="4"/>
  <c r="G30" i="6"/>
  <c r="G28" i="6"/>
  <c r="G32" i="6"/>
  <c r="G25" i="6"/>
  <c r="I9" i="4"/>
  <c r="V5" i="6"/>
  <c r="J9" i="4"/>
  <c r="W7" i="6"/>
  <c r="G43" i="6"/>
  <c r="G49" i="6"/>
  <c r="G64" i="6"/>
  <c r="G59" i="6"/>
  <c r="J8" i="4"/>
  <c r="I12" i="4"/>
  <c r="T7" i="6"/>
  <c r="G38" i="6"/>
  <c r="W5" i="6"/>
  <c r="U5" i="6"/>
  <c r="G51" i="6"/>
  <c r="G24" i="6"/>
  <c r="G46" i="6"/>
  <c r="I8" i="4"/>
  <c r="V7" i="6"/>
  <c r="G27" i="6"/>
  <c r="G16" i="6"/>
  <c r="J12" i="4"/>
  <c r="U67" i="6" l="1"/>
  <c r="W67" i="6"/>
  <c r="T67" i="6"/>
  <c r="V67" i="6"/>
  <c r="T68" i="6" l="1"/>
  <c r="W69" i="6" s="1"/>
</calcChain>
</file>

<file path=xl/comments1.xml><?xml version="1.0" encoding="utf-8"?>
<comments xmlns="http://schemas.openxmlformats.org/spreadsheetml/2006/main">
  <authors>
    <author>EuroProject</author>
  </authors>
  <commentList>
    <comment ref="J4" authorId="0" shapeId="0">
      <text>
        <r>
          <rPr>
            <i/>
            <sz val="9"/>
            <color indexed="81"/>
            <rFont val="Tahoma"/>
            <family val="2"/>
          </rPr>
          <t>Inbound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Tahoma"/>
            <family val="2"/>
          </rPr>
          <t>&lt;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i/>
            <sz val="9"/>
            <color indexed="81"/>
            <rFont val="Tahoma"/>
            <family val="2"/>
          </rPr>
          <t>or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i/>
            <sz val="9"/>
            <color indexed="81"/>
            <rFont val="Tahoma"/>
            <family val="2"/>
          </rPr>
          <t>Outbound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Tahoma"/>
            <family val="2"/>
          </rPr>
          <t>"?</t>
        </r>
      </text>
    </comment>
    <comment ref="O4" authorId="0" shapeId="0">
      <text>
        <r>
          <rPr>
            <i/>
            <sz val="9"/>
            <color indexed="81"/>
            <rFont val="Tahoma"/>
            <family val="2"/>
          </rPr>
          <t>Is this data movement uniquely moving that data group? If no, another does the same and thus this doesn't add to the count.</t>
        </r>
      </text>
    </comment>
    <comment ref="P4" authorId="0" shapeId="0">
      <text>
        <r>
          <rPr>
            <i/>
            <sz val="9"/>
            <color indexed="81"/>
            <rFont val="Tahoma"/>
            <family val="2"/>
          </rPr>
          <t>Do all data attributes and associated data manipulations describe only one object of interest?</t>
        </r>
      </text>
    </comment>
    <comment ref="Q4" authorId="0" shapeId="0">
      <text>
        <r>
          <rPr>
            <i/>
            <sz val="9"/>
            <color indexed="81"/>
            <rFont val="Tahoma"/>
            <family val="2"/>
          </rPr>
          <t>If separate data movements are identified, is there a FUR requiring it?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" authorId="0" shapeId="0">
      <text>
        <r>
          <rPr>
            <i/>
            <sz val="9"/>
            <color indexed="81"/>
            <rFont val="Tahoma"/>
            <family val="2"/>
          </rPr>
          <t>Is the data movement moving a data group with its data manipulation unique?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" authorId="0" shapeId="0">
      <text>
        <r>
          <rPr>
            <i/>
            <sz val="9"/>
            <color indexed="81"/>
            <rFont val="Tahoma"/>
            <family val="2"/>
          </rPr>
          <t>Is this data movement identified without respect to value-associated behavior?</t>
        </r>
      </text>
    </comment>
  </commentList>
</comments>
</file>

<file path=xl/sharedStrings.xml><?xml version="1.0" encoding="utf-8"?>
<sst xmlns="http://schemas.openxmlformats.org/spreadsheetml/2006/main" count="808" uniqueCount="376">
  <si>
    <t>Connected to:</t>
  </si>
  <si>
    <t>Date:</t>
  </si>
  <si>
    <t>Author Team:</t>
  </si>
  <si>
    <t>Object of Interest</t>
  </si>
  <si>
    <t>Description</t>
  </si>
  <si>
    <t>Layer Identification</t>
  </si>
  <si>
    <t>Data Groups</t>
  </si>
  <si>
    <t>Triggering Event</t>
  </si>
  <si>
    <t>Data Group</t>
  </si>
  <si>
    <t>Entry (E)</t>
  </si>
  <si>
    <t>Write (W)</t>
  </si>
  <si>
    <t>Read (R)</t>
  </si>
  <si>
    <t>Triggering Entry</t>
  </si>
  <si>
    <t>Name</t>
  </si>
  <si>
    <t>Label</t>
  </si>
  <si>
    <t>Type</t>
  </si>
  <si>
    <t>F001</t>
  </si>
  <si>
    <t>Objects of Interest</t>
  </si>
  <si>
    <t>CFP per Data Movement Type</t>
  </si>
  <si>
    <t>Total CFP</t>
  </si>
  <si>
    <t xml:space="preserve">Functional Process </t>
  </si>
  <si>
    <t>Data Movements</t>
  </si>
  <si>
    <t>eXit (X)</t>
  </si>
  <si>
    <t>Data Movement Sub-Process Description</t>
  </si>
  <si>
    <t xml:space="preserve"> </t>
  </si>
  <si>
    <t>Link to  Application</t>
  </si>
  <si>
    <t>To</t>
  </si>
  <si>
    <t>Trigger</t>
  </si>
  <si>
    <t>Attributes</t>
  </si>
  <si>
    <t>Data Owner</t>
  </si>
  <si>
    <t>Check 1</t>
  </si>
  <si>
    <t>Check 2</t>
  </si>
  <si>
    <t>Check 3</t>
  </si>
  <si>
    <t>Check 4</t>
  </si>
  <si>
    <t>G001</t>
  </si>
  <si>
    <t>Enforce existence of triggers for functional processes</t>
  </si>
  <si>
    <t>Counting Check Options</t>
  </si>
  <si>
    <t>Enforce definition of data group in data movements</t>
  </si>
  <si>
    <t>As a … [Functional User]</t>
  </si>
  <si>
    <t>Such that …[quality characteristic]</t>
  </si>
  <si>
    <t xml:space="preserve">I want to … [get something done] </t>
  </si>
  <si>
    <t>So that … [value or benefit].</t>
  </si>
  <si>
    <t>Thomas Fehlmann, Euro Project Office AG, Zürich</t>
  </si>
  <si>
    <t>thomas.fehlmann@e-p-o.com</t>
  </si>
  <si>
    <t>Entry Movement used</t>
  </si>
  <si>
    <t>Application Boundary</t>
  </si>
  <si>
    <t>Purpose of Measurement:</t>
  </si>
  <si>
    <t>Top Position</t>
  </si>
  <si>
    <t>Move Type</t>
  </si>
  <si>
    <t>Rule Check</t>
  </si>
  <si>
    <t>Moving Data between</t>
  </si>
  <si>
    <t>Triggering</t>
  </si>
  <si>
    <t>Unique?</t>
  </si>
  <si>
    <t>Direction</t>
  </si>
  <si>
    <t>Data Movement</t>
  </si>
  <si>
    <t xml:space="preserve">Export and Import </t>
  </si>
  <si>
    <t>F</t>
  </si>
  <si>
    <t>P003</t>
  </si>
  <si>
    <t>W002</t>
  </si>
  <si>
    <t>E008</t>
  </si>
  <si>
    <t>User Stories</t>
  </si>
  <si>
    <t>Recipe</t>
  </si>
  <si>
    <t>Selection Criteria</t>
  </si>
  <si>
    <t>Recipe ID</t>
  </si>
  <si>
    <t>Recipe with new ID</t>
  </si>
  <si>
    <t>Recipe Group</t>
  </si>
  <si>
    <t>Food Search Criteria</t>
  </si>
  <si>
    <t>Food ID</t>
  </si>
  <si>
    <t>Food Attributes</t>
  </si>
  <si>
    <t>Shopping LIst</t>
  </si>
  <si>
    <t>Food List</t>
  </si>
  <si>
    <t>Expiration</t>
  </si>
  <si>
    <t>Cooking Process</t>
  </si>
  <si>
    <t>Boiling Data</t>
  </si>
  <si>
    <t>Nutrition Facts</t>
  </si>
  <si>
    <t>Recipe Statistics</t>
  </si>
  <si>
    <t>Ingredients, quantity and preparation</t>
  </si>
  <si>
    <t>Preferences, aversions, food type, cooking effort</t>
  </si>
  <si>
    <t>Unique recipe identification</t>
  </si>
  <si>
    <t>Create a new recipe ID</t>
  </si>
  <si>
    <t>Groups of similar or related recipes</t>
  </si>
  <si>
    <t>Names in different languages</t>
  </si>
  <si>
    <t>Unique food identification</t>
  </si>
  <si>
    <t>Quality indicators</t>
  </si>
  <si>
    <t>Product list</t>
  </si>
  <si>
    <t>Inventory list</t>
  </si>
  <si>
    <t>Date or time lapse until food starts deteriorating</t>
  </si>
  <si>
    <t>Precess steps nneded to cook a recipe</t>
  </si>
  <si>
    <t>Heat gradient of boiling plates</t>
  </si>
  <si>
    <t>Nutrition quality data</t>
  </si>
  <si>
    <t>Frequency analysis for recipes</t>
  </si>
  <si>
    <t>Recipe Site</t>
  </si>
  <si>
    <t>Recipe Collector</t>
  </si>
  <si>
    <t>Grocery Store</t>
  </si>
  <si>
    <t>Kitchen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</si>
  <si>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</si>
  <si>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</si>
  <si>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</si>
  <si>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</si>
  <si>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</si>
  <si>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</si>
  <si>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</si>
  <si>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</si>
  <si>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</si>
  <si>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</si>
  <si>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</si>
  <si>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</si>
  <si>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</si>
  <si>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</si>
  <si>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Collect Recipes</t>
  </si>
  <si>
    <t>Recipe Database</t>
  </si>
  <si>
    <t>Identify Food</t>
  </si>
  <si>
    <t>Food Database</t>
  </si>
  <si>
    <t>Grocery Shop</t>
  </si>
  <si>
    <t>Kitchen Inventory</t>
  </si>
  <si>
    <t>Inventory Database</t>
  </si>
  <si>
    <t>Execute Recipe</t>
  </si>
  <si>
    <t>Kitchen Controls</t>
  </si>
  <si>
    <t>Boiling Plates</t>
  </si>
  <si>
    <t>Oven &amp; Steamer</t>
  </si>
  <si>
    <t>Recipe Log</t>
  </si>
  <si>
    <t>Collect Recipes from own and foreign sources on the Internet. Also provide a form to enter private recipes not intended for publication</t>
  </si>
  <si>
    <t>Identify food and food components - compare with a nuitrion database that can be enhanced and enlarged</t>
  </si>
  <si>
    <t>Food names and attributes in various languages and metrical systems</t>
  </si>
  <si>
    <t>Shopping lists, delivery notes etc. Can be a real, or a virual e-Shop with home delivery</t>
  </si>
  <si>
    <t>What is in the fridge, what in the drawers?</t>
  </si>
  <si>
    <t>Remembers what is in my kitchen, including fridge and cupboards</t>
  </si>
  <si>
    <t>Select a recipe and tell the kitchen that you will do it now</t>
  </si>
  <si>
    <t>Monitors kitchen equipment such as overhead ventilator</t>
  </si>
  <si>
    <t>Guess what's in the pot; accepts temperatur and heat intensity settings</t>
  </si>
  <si>
    <t>Other kitchen appliances such as oven and steamer, equipped with sensors and capable to plan for cooking process</t>
  </si>
  <si>
    <t>Keep track of  recipes executed</t>
  </si>
  <si>
    <t>D</t>
  </si>
  <si>
    <t>P</t>
  </si>
  <si>
    <t>A</t>
  </si>
  <si>
    <t>D001</t>
  </si>
  <si>
    <t>P001</t>
  </si>
  <si>
    <t>A001</t>
  </si>
  <si>
    <t>F002</t>
  </si>
  <si>
    <t>P002</t>
  </si>
  <si>
    <t>A002</t>
  </si>
  <si>
    <t>F003</t>
  </si>
  <si>
    <t>F004</t>
  </si>
  <si>
    <t>A003</t>
  </si>
  <si>
    <t>A004</t>
  </si>
  <si>
    <t>A005</t>
  </si>
  <si>
    <t>P004</t>
  </si>
  <si>
    <t>Store Recipe</t>
  </si>
  <si>
    <t>Read Recipe</t>
  </si>
  <si>
    <t>Modify Recipe</t>
  </si>
  <si>
    <t>Delete Recipe</t>
  </si>
  <si>
    <t>Show Recipe</t>
  </si>
  <si>
    <t>Search Recipe</t>
  </si>
  <si>
    <t>Matching Recipes</t>
  </si>
  <si>
    <t>Propose Recipes</t>
  </si>
  <si>
    <t>Select Recipes</t>
  </si>
  <si>
    <t>Store Recipes</t>
  </si>
  <si>
    <t>Browse Recipes</t>
  </si>
  <si>
    <t>Show Recipes</t>
  </si>
  <si>
    <t>Search for Food</t>
  </si>
  <si>
    <t>Search for Food ID</t>
  </si>
  <si>
    <t>Food ID Match</t>
  </si>
  <si>
    <t>Store Food</t>
  </si>
  <si>
    <t>Manage Food</t>
  </si>
  <si>
    <t>Store Attributes</t>
  </si>
  <si>
    <t>Show Attributes</t>
  </si>
  <si>
    <t>Request Shopping List</t>
  </si>
  <si>
    <t>Food Inventory</t>
  </si>
  <si>
    <t>Recipe Food Components</t>
  </si>
  <si>
    <t>Issue Shopping List</t>
  </si>
  <si>
    <t>Record Shopping</t>
  </si>
  <si>
    <t>Manual Entry</t>
  </si>
  <si>
    <t>Store Shopping</t>
  </si>
  <si>
    <t>List Inventory</t>
  </si>
  <si>
    <t>Show Inventory</t>
  </si>
  <si>
    <t>Expired?</t>
  </si>
  <si>
    <t>Shelf life</t>
  </si>
  <si>
    <t>Remove from Inventory</t>
  </si>
  <si>
    <t>Select Recipe</t>
  </si>
  <si>
    <t>Get Recipe</t>
  </si>
  <si>
    <t>Get Food Attributes</t>
  </si>
  <si>
    <t>Check Inventory</t>
  </si>
  <si>
    <t>Plan Cooking Process</t>
  </si>
  <si>
    <t>Execute Cooking Process</t>
  </si>
  <si>
    <t>Update Inventory</t>
  </si>
  <si>
    <t>Start Monitoring</t>
  </si>
  <si>
    <t>Monitor</t>
  </si>
  <si>
    <t>Control Heat</t>
  </si>
  <si>
    <t>Report Status</t>
  </si>
  <si>
    <t>Alert Cook</t>
  </si>
  <si>
    <t>Adapt Process</t>
  </si>
  <si>
    <t>Calculate Nutrition Facts</t>
  </si>
  <si>
    <t>Record Cooked Recipe</t>
  </si>
  <si>
    <t>Recall Cooked Recipe</t>
  </si>
  <si>
    <t>Recall Cooked Recipes</t>
  </si>
  <si>
    <t>Show Cooked Recipes</t>
  </si>
  <si>
    <t>Based on identification</t>
  </si>
  <si>
    <t>Shows how many recipes are available in which categories</t>
  </si>
  <si>
    <t>Search for new recipes</t>
  </si>
  <si>
    <t>from group of proposed recipes</t>
  </si>
  <si>
    <t>Identify food component</t>
  </si>
  <si>
    <t>Store food component</t>
  </si>
  <si>
    <t>Change attributes of food components as needed</t>
  </si>
  <si>
    <t>All food required to cook a recipe</t>
  </si>
  <si>
    <t>Contains all items for cooking a collection of recipes in addition to what's already on inventory</t>
  </si>
  <si>
    <t>Time to expiration date</t>
  </si>
  <si>
    <t>For cooking</t>
  </si>
  <si>
    <t>Alert cook when something seems unexpected</t>
  </si>
  <si>
    <t>List of all used recipes</t>
  </si>
  <si>
    <t>&lt;</t>
  </si>
  <si>
    <t>&gt;</t>
  </si>
  <si>
    <t>E001</t>
  </si>
  <si>
    <t>W001</t>
  </si>
  <si>
    <t>R001</t>
  </si>
  <si>
    <t>E002</t>
  </si>
  <si>
    <t>E003</t>
  </si>
  <si>
    <t>X001</t>
  </si>
  <si>
    <t>X002</t>
  </si>
  <si>
    <t>E004</t>
  </si>
  <si>
    <t>X003</t>
  </si>
  <si>
    <t>E005</t>
  </si>
  <si>
    <t>X004</t>
  </si>
  <si>
    <t>E006</t>
  </si>
  <si>
    <t>R002</t>
  </si>
  <si>
    <t>X005</t>
  </si>
  <si>
    <t>E007</t>
  </si>
  <si>
    <t>W003</t>
  </si>
  <si>
    <t>R003</t>
  </si>
  <si>
    <t>W004</t>
  </si>
  <si>
    <t>X006</t>
  </si>
  <si>
    <t>E009</t>
  </si>
  <si>
    <t>W005</t>
  </si>
  <si>
    <t>R004</t>
  </si>
  <si>
    <t>X007</t>
  </si>
  <si>
    <t>E010</t>
  </si>
  <si>
    <t>R005</t>
  </si>
  <si>
    <t>R006</t>
  </si>
  <si>
    <t>X008</t>
  </si>
  <si>
    <t>E011</t>
  </si>
  <si>
    <t>E012</t>
  </si>
  <si>
    <t>W006</t>
  </si>
  <si>
    <t>R007</t>
  </si>
  <si>
    <t>X009</t>
  </si>
  <si>
    <t>R008</t>
  </si>
  <si>
    <t>R009</t>
  </si>
  <si>
    <t>E013</t>
  </si>
  <si>
    <t>W007</t>
  </si>
  <si>
    <t>E014</t>
  </si>
  <si>
    <t>R010</t>
  </si>
  <si>
    <t>R011</t>
  </si>
  <si>
    <t>R012</t>
  </si>
  <si>
    <t>X010</t>
  </si>
  <si>
    <t>E015</t>
  </si>
  <si>
    <t>W008</t>
  </si>
  <si>
    <t>X011</t>
  </si>
  <si>
    <t>E016</t>
  </si>
  <si>
    <t>X012</t>
  </si>
  <si>
    <t>E017</t>
  </si>
  <si>
    <t>X013</t>
  </si>
  <si>
    <t>E018</t>
  </si>
  <si>
    <t>X014</t>
  </si>
  <si>
    <t>E019</t>
  </si>
  <si>
    <t>X015</t>
  </si>
  <si>
    <t>E020</t>
  </si>
  <si>
    <t>X016</t>
  </si>
  <si>
    <t>W009</t>
  </si>
  <si>
    <t>E021</t>
  </si>
  <si>
    <t>R013</t>
  </si>
  <si>
    <t>X017</t>
  </si>
  <si>
    <t>Enter</t>
  </si>
  <si>
    <t>Search</t>
  </si>
  <si>
    <t>Food</t>
  </si>
  <si>
    <t>Manage</t>
  </si>
  <si>
    <t>Shopping</t>
  </si>
  <si>
    <t>Cook</t>
  </si>
  <si>
    <t>Remember</t>
  </si>
  <si>
    <t>Control</t>
  </si>
  <si>
    <t>Enter a new recipe</t>
  </si>
  <si>
    <t>Manage Inventory</t>
  </si>
  <si>
    <t>Shop for a recipe</t>
  </si>
  <si>
    <t>Start the cooking process</t>
  </si>
  <si>
    <t>Remember previous recipes cooked</t>
  </si>
  <si>
    <t>Control the cooking process</t>
  </si>
  <si>
    <t>T01</t>
  </si>
  <si>
    <t>T02</t>
  </si>
  <si>
    <t>T03</t>
  </si>
  <si>
    <t>T04</t>
  </si>
  <si>
    <t>T05</t>
  </si>
  <si>
    <t>T06</t>
  </si>
  <si>
    <t>T07</t>
  </si>
  <si>
    <t>T08</t>
  </si>
  <si>
    <t>Search Recipes</t>
  </si>
  <si>
    <t>Shopping List</t>
  </si>
  <si>
    <t>Process Control</t>
  </si>
  <si>
    <t>Kitchen User</t>
  </si>
  <si>
    <t>collect recipes</t>
  </si>
  <si>
    <t>I can select one that interests me</t>
  </si>
  <si>
    <t>my family and guests are impressed</t>
  </si>
  <si>
    <t>identify food components</t>
  </si>
  <si>
    <t>the recipes use correct components</t>
  </si>
  <si>
    <t>find new recipes</t>
  </si>
  <si>
    <t>know what's in my kitchen</t>
  </si>
  <si>
    <t>I can get rid of obsolescent food</t>
  </si>
  <si>
    <t>before it decays</t>
  </si>
  <si>
    <t>get a shopping list</t>
  </si>
  <si>
    <t>I buy everything that's needed</t>
  </si>
  <si>
    <t>I can cook my recipe</t>
  </si>
  <si>
    <t>start cooking</t>
  </si>
  <si>
    <t>my appliances know what I'm doing</t>
  </si>
  <si>
    <t>the can help me doing it right</t>
  </si>
  <si>
    <t>execute the cooking process</t>
  </si>
  <si>
    <t>heat and treatment is correct</t>
  </si>
  <si>
    <t>boiling pans don't overspill</t>
  </si>
  <si>
    <t>remember what I cooked last time</t>
  </si>
  <si>
    <t>for my family or guests</t>
  </si>
  <si>
    <t>they won't get weary of my recipes</t>
  </si>
  <si>
    <t>Enter New Recipe</t>
  </si>
  <si>
    <t>Recipe consisting of ingredients, preparation, and cooking process steps</t>
  </si>
  <si>
    <t>Save it in the recipe database of the Recipe Site</t>
  </si>
  <si>
    <t>The human who adds, deletes, prioritizes and modifies recipies, and finally wants to cook them</t>
  </si>
  <si>
    <t>Recipe Portal</t>
  </si>
  <si>
    <t>On Internet. Collects and distributes cooking recipes to kitchen users who cook themselves at home</t>
  </si>
  <si>
    <t>Stores own recipes and those found and selected from the Internet</t>
  </si>
  <si>
    <t>The Kitchen Helper App</t>
  </si>
  <si>
    <t>My Smartphone</t>
  </si>
  <si>
    <t>Increase customer loyalty by issuing shoppipng lists matching my grocery shop's brands</t>
  </si>
  <si>
    <t>Amend recipe data</t>
  </si>
  <si>
    <t>Remove recipe from recipe database</t>
  </si>
  <si>
    <t>Suitable for cooking and the kitchen environment</t>
  </si>
  <si>
    <t>Ask the Recipe Portal</t>
  </si>
  <si>
    <t>Find a match</t>
  </si>
  <si>
    <t>Store new or changed recipe in the recipe database</t>
  </si>
  <si>
    <t>Record new co changed recipe in the recipe log</t>
  </si>
  <si>
    <t>Record new or changed shopping list in the grocery shop</t>
  </si>
  <si>
    <t>If food cannot be recognized by sensors, enter it manually</t>
  </si>
  <si>
    <t>Store new or changed attributes in the food database</t>
  </si>
  <si>
    <t>Show new or changed attributes in the food database</t>
  </si>
  <si>
    <t>Show new or changed attributes in the kitchen user</t>
  </si>
  <si>
    <t xml:space="preserve">Identifies the food </t>
  </si>
  <si>
    <t>Search food by attributes</t>
  </si>
  <si>
    <t>List of matching food items</t>
  </si>
  <si>
    <t>Show new or changed inventory in the kitchen user</t>
  </si>
  <si>
    <t>Get new or changed attributes in the food database</t>
  </si>
  <si>
    <t>Start monitoring the kitchen controls</t>
  </si>
  <si>
    <t>Monitor the kitchen controls</t>
  </si>
  <si>
    <t>Report status in the boiling plates</t>
  </si>
  <si>
    <t>Monitor oven &amp; steamer</t>
  </si>
  <si>
    <t>Monitor boiling heat</t>
  </si>
  <si>
    <t>Control boiling heat</t>
  </si>
  <si>
    <t>Report status in the oven &amp; steamer</t>
  </si>
  <si>
    <t>Show the food facts</t>
  </si>
  <si>
    <t>Show recipes used by the kitchen user</t>
  </si>
  <si>
    <t>Search for existing recipes</t>
  </si>
  <si>
    <t>Identify food and food components</t>
  </si>
  <si>
    <t>Manage inventory</t>
  </si>
  <si>
    <t>my shopping list is accurate</t>
  </si>
  <si>
    <t>Propose the recipes that match the selection criteria</t>
  </si>
  <si>
    <t>Browse new or changed recipe in the recipe database</t>
  </si>
  <si>
    <t>Show new or changed recipe in the kitchen user</t>
  </si>
  <si>
    <t>Search food by its ID</t>
  </si>
  <si>
    <t>Request a shopping list that contains everything needed for cooking a collection of recipes without buying extra stuff</t>
  </si>
  <si>
    <t>Food new or changed invent in the inventory database</t>
  </si>
  <si>
    <t>Actual shelf life for this food item</t>
  </si>
  <si>
    <t>Set Expiration Date</t>
  </si>
  <si>
    <t>Show new or changed expiration date to kitchen user</t>
  </si>
  <si>
    <t>Remove new or changed food items in the inventory</t>
  </si>
  <si>
    <t>List new or changed inventory in the inventory</t>
  </si>
  <si>
    <t>Store new or changed food items in the inventory</t>
  </si>
  <si>
    <t>Get recipe as selected for cooking</t>
  </si>
  <si>
    <t>Check new or changed food items in the inventory</t>
  </si>
  <si>
    <t>Plan new or changed process</t>
  </si>
  <si>
    <t>Execute new or changed process</t>
  </si>
  <si>
    <t>Update new or changed food items in the inventory</t>
  </si>
  <si>
    <t>Start monitoring oven &amp; steamer</t>
  </si>
  <si>
    <t>Change parameters if necessary</t>
  </si>
  <si>
    <t>Remember what you cooked last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</si>
</sst>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&quot;)&quot;"/>
    <numFmt numFmtId="165" formatCode="0;0;"/>
    <numFmt numFmtId="166" formatCode="[$-F800]dddd\,\ mmmm\ dd\,\ yyyy"/>
  </numFmts>
  <fonts count="27" x14ac:knownFonts="1">
    <font>
      <sz val="10"/>
      <name val="Arial Narrow"/>
    </font>
    <font>
      <b/>
      <i/>
      <sz val="14"/>
      <name val="Arial Narrow"/>
      <family val="2"/>
    </font>
    <font>
      <b/>
      <i/>
      <sz val="12"/>
      <name val="Arial Narrow"/>
      <family val="2"/>
    </font>
    <font>
      <sz val="10"/>
      <name val="Arial Narrow"/>
      <family val="2"/>
    </font>
    <font>
      <sz val="10"/>
      <color indexed="8"/>
      <name val="Arial Narrow"/>
      <family val="2"/>
    </font>
    <font>
      <sz val="8"/>
      <name val="Arial Narrow"/>
      <family val="2"/>
    </font>
    <font>
      <sz val="10"/>
      <color theme="0"/>
      <name val="Arial Narrow"/>
      <family val="2"/>
    </font>
    <font>
      <b/>
      <i/>
      <sz val="10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4"/>
      <color theme="0"/>
      <name val="Arial Narrow"/>
      <family val="2"/>
    </font>
    <font>
      <b/>
      <i/>
      <sz val="16"/>
      <color theme="0"/>
      <name val="Arial Narrow"/>
      <family val="2"/>
    </font>
    <font>
      <b/>
      <sz val="10"/>
      <color theme="0"/>
      <name val="Arial Narrow"/>
      <family val="2"/>
    </font>
    <font>
      <b/>
      <i/>
      <sz val="6"/>
      <name val="Arial"/>
      <family val="2"/>
    </font>
    <font>
      <b/>
      <i/>
      <sz val="10"/>
      <name val="Arial Narrow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i/>
      <sz val="8"/>
      <name val="Arial Narrow"/>
      <family val="2"/>
    </font>
    <font>
      <i/>
      <sz val="10"/>
      <name val="Arial Narrow"/>
      <family val="2"/>
    </font>
    <font>
      <sz val="12"/>
      <name val="Arial Narrow"/>
      <family val="2"/>
    </font>
    <font>
      <sz val="11"/>
      <name val="Arial Narrow"/>
      <family val="2"/>
    </font>
    <font>
      <u/>
      <sz val="10"/>
      <color theme="10"/>
      <name val="Arial Narrow"/>
      <family val="2"/>
    </font>
    <font>
      <i/>
      <sz val="6"/>
      <name val="Arial Narrow"/>
      <family val="2"/>
    </font>
    <font>
      <sz val="14"/>
      <color theme="0"/>
      <name val="Arial Narrow"/>
      <family val="2"/>
    </font>
    <font>
      <b/>
      <i/>
      <sz val="16"/>
      <name val="Arial Narrow"/>
      <family val="2"/>
    </font>
    <font>
      <b/>
      <sz val="10"/>
      <name val="Arial Narrow"/>
      <family val="2"/>
    </font>
    <font>
      <b/>
      <sz val="9"/>
      <color indexed="81"/>
      <name val="Tahoma"/>
      <family val="2"/>
    </font>
    <font>
      <i/>
      <sz val="8"/>
      <color theme="5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CDDC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 style="thin">
        <color indexed="64"/>
      </top>
      <bottom style="medium">
        <color theme="1" tint="0.24994659260841701"/>
      </bottom>
      <diagonal/>
    </border>
    <border>
      <left/>
      <right style="medium">
        <color theme="1" tint="0.24994659260841701"/>
      </right>
      <top/>
      <bottom style="medium">
        <color theme="1" tint="0.24994659260841701"/>
      </bottom>
      <diagonal/>
    </border>
    <border>
      <left/>
      <right/>
      <top style="medium">
        <color theme="1" tint="0.24994659260841701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theme="1" tint="0.2499465926084170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0" fontId="3" fillId="0" borderId="0"/>
    <xf numFmtId="0" fontId="20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6" fillId="4" borderId="22" xfId="0" applyFont="1" applyFill="1" applyBorder="1"/>
    <xf numFmtId="0" fontId="6" fillId="4" borderId="23" xfId="0" applyFont="1" applyFill="1" applyBorder="1"/>
    <xf numFmtId="0" fontId="6" fillId="4" borderId="25" xfId="0" applyFont="1" applyFill="1" applyBorder="1"/>
    <xf numFmtId="0" fontId="0" fillId="3" borderId="22" xfId="0" applyFill="1" applyBorder="1"/>
    <xf numFmtId="0" fontId="3" fillId="3" borderId="29" xfId="0" applyFont="1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164" fontId="0" fillId="3" borderId="24" xfId="0" applyNumberFormat="1" applyFill="1" applyBorder="1"/>
    <xf numFmtId="0" fontId="0" fillId="3" borderId="26" xfId="0" applyFill="1" applyBorder="1"/>
    <xf numFmtId="0" fontId="0" fillId="3" borderId="27" xfId="0" applyFill="1" applyBorder="1" applyAlignment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7" fillId="4" borderId="29" xfId="0" applyFont="1" applyFill="1" applyBorder="1" applyAlignment="1">
      <alignment horizontal="center"/>
    </xf>
    <xf numFmtId="0" fontId="7" fillId="4" borderId="29" xfId="0" applyFont="1" applyFill="1" applyBorder="1"/>
    <xf numFmtId="0" fontId="6" fillId="4" borderId="24" xfId="0" applyFont="1" applyFill="1" applyBorder="1"/>
    <xf numFmtId="0" fontId="7" fillId="4" borderId="0" xfId="0" applyFont="1" applyFill="1" applyBorder="1"/>
    <xf numFmtId="0" fontId="6" fillId="5" borderId="21" xfId="0" applyFont="1" applyFill="1" applyBorder="1" applyAlignment="1">
      <alignment horizontal="center" textRotation="90" wrapText="1"/>
    </xf>
    <xf numFmtId="0" fontId="6" fillId="5" borderId="0" xfId="0" applyFont="1" applyFill="1" applyBorder="1" applyAlignment="1" applyProtection="1">
      <alignment vertical="top"/>
    </xf>
    <xf numFmtId="0" fontId="11" fillId="5" borderId="0" xfId="0" applyFont="1" applyFill="1" applyBorder="1" applyAlignment="1" applyProtection="1">
      <alignment horizontal="center"/>
    </xf>
    <xf numFmtId="0" fontId="6" fillId="5" borderId="0" xfId="0" applyFont="1" applyFill="1" applyBorder="1" applyProtection="1"/>
    <xf numFmtId="0" fontId="8" fillId="5" borderId="0" xfId="0" applyFont="1" applyFill="1" applyBorder="1" applyProtection="1"/>
    <xf numFmtId="0" fontId="9" fillId="5" borderId="0" xfId="0" applyFont="1" applyFill="1" applyBorder="1" applyProtection="1"/>
    <xf numFmtId="0" fontId="8" fillId="5" borderId="21" xfId="0" applyFont="1" applyFill="1" applyBorder="1" applyAlignment="1">
      <alignment horizontal="left"/>
    </xf>
    <xf numFmtId="0" fontId="8" fillId="5" borderId="21" xfId="0" applyFont="1" applyFill="1" applyBorder="1"/>
    <xf numFmtId="0" fontId="6" fillId="5" borderId="21" xfId="0" applyFont="1" applyFill="1" applyBorder="1" applyAlignment="1">
      <alignment textRotation="90" wrapText="1"/>
    </xf>
    <xf numFmtId="0" fontId="6" fillId="5" borderId="22" xfId="0" applyFont="1" applyFill="1" applyBorder="1"/>
    <xf numFmtId="0" fontId="6" fillId="5" borderId="29" xfId="0" applyFont="1" applyFill="1" applyBorder="1"/>
    <xf numFmtId="0" fontId="6" fillId="5" borderId="29" xfId="0" applyFont="1" applyFill="1" applyBorder="1" applyAlignment="1">
      <alignment horizontal="center"/>
    </xf>
    <xf numFmtId="0" fontId="6" fillId="5" borderId="23" xfId="0" applyFont="1" applyFill="1" applyBorder="1"/>
    <xf numFmtId="0" fontId="6" fillId="5" borderId="24" xfId="0" applyFont="1" applyFill="1" applyBorder="1"/>
    <xf numFmtId="0" fontId="6" fillId="5" borderId="25" xfId="0" applyFont="1" applyFill="1" applyBorder="1"/>
    <xf numFmtId="0" fontId="0" fillId="5" borderId="25" xfId="0" applyFill="1" applyBorder="1"/>
    <xf numFmtId="0" fontId="0" fillId="5" borderId="26" xfId="0" applyFill="1" applyBorder="1"/>
    <xf numFmtId="0" fontId="6" fillId="5" borderId="34" xfId="0" applyFont="1" applyFill="1" applyBorder="1"/>
    <xf numFmtId="0" fontId="6" fillId="5" borderId="34" xfId="0" applyFont="1" applyFill="1" applyBorder="1" applyAlignment="1">
      <alignment horizontal="center"/>
    </xf>
    <xf numFmtId="0" fontId="0" fillId="5" borderId="28" xfId="0" applyFill="1" applyBorder="1"/>
    <xf numFmtId="165" fontId="0" fillId="2" borderId="12" xfId="0" applyNumberFormat="1" applyFill="1" applyBorder="1" applyAlignment="1" applyProtection="1">
      <alignment horizontal="center"/>
    </xf>
    <xf numFmtId="165" fontId="0" fillId="2" borderId="13" xfId="0" applyNumberFormat="1" applyFill="1" applyBorder="1" applyAlignment="1" applyProtection="1">
      <alignment horizontal="center"/>
    </xf>
    <xf numFmtId="165" fontId="0" fillId="2" borderId="19" xfId="0" applyNumberFormat="1" applyFill="1" applyBorder="1" applyAlignment="1" applyProtection="1">
      <alignment horizontal="center"/>
    </xf>
    <xf numFmtId="165" fontId="0" fillId="2" borderId="20" xfId="0" applyNumberForma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6" fillId="5" borderId="29" xfId="0" applyFont="1" applyFill="1" applyBorder="1" applyAlignment="1">
      <alignment horizontal="left"/>
    </xf>
    <xf numFmtId="0" fontId="11" fillId="5" borderId="0" xfId="0" applyFont="1" applyFill="1" applyBorder="1" applyAlignment="1" applyProtection="1">
      <alignment horizontal="left"/>
    </xf>
    <xf numFmtId="0" fontId="6" fillId="5" borderId="34" xfId="0" applyFont="1" applyFill="1" applyBorder="1" applyAlignment="1">
      <alignment horizontal="left"/>
    </xf>
    <xf numFmtId="164" fontId="6" fillId="5" borderId="24" xfId="0" applyNumberFormat="1" applyFont="1" applyFill="1" applyBorder="1"/>
    <xf numFmtId="165" fontId="0" fillId="2" borderId="17" xfId="0" applyNumberFormat="1" applyFill="1" applyBorder="1" applyAlignment="1" applyProtection="1">
      <alignment vertical="top"/>
    </xf>
    <xf numFmtId="165" fontId="0" fillId="2" borderId="18" xfId="0" applyNumberFormat="1" applyFill="1" applyBorder="1" applyAlignment="1" applyProtection="1">
      <alignment vertical="top"/>
    </xf>
    <xf numFmtId="0" fontId="3" fillId="3" borderId="29" xfId="0" applyFont="1" applyFill="1" applyBorder="1"/>
    <xf numFmtId="0" fontId="0" fillId="3" borderId="27" xfId="0" applyFill="1" applyBorder="1" applyAlignment="1">
      <alignment horizontal="left"/>
    </xf>
    <xf numFmtId="165" fontId="0" fillId="8" borderId="33" xfId="0" applyNumberFormat="1" applyFill="1" applyBorder="1" applyProtection="1">
      <protection locked="0"/>
    </xf>
    <xf numFmtId="165" fontId="0" fillId="8" borderId="21" xfId="0" applyNumberFormat="1" applyFill="1" applyBorder="1" applyProtection="1">
      <protection locked="0"/>
    </xf>
    <xf numFmtId="0" fontId="0" fillId="3" borderId="29" xfId="0" applyFill="1" applyBorder="1" applyAlignment="1">
      <alignment horizontal="center"/>
    </xf>
    <xf numFmtId="0" fontId="0" fillId="11" borderId="6" xfId="0" applyFill="1" applyBorder="1"/>
    <xf numFmtId="0" fontId="0" fillId="11" borderId="5" xfId="0" applyFill="1" applyBorder="1"/>
    <xf numFmtId="0" fontId="2" fillId="11" borderId="21" xfId="0" applyFont="1" applyFill="1" applyBorder="1" applyAlignment="1">
      <alignment horizontal="left" wrapText="1"/>
    </xf>
    <xf numFmtId="0" fontId="2" fillId="11" borderId="21" xfId="0" applyFont="1" applyFill="1" applyBorder="1" applyAlignment="1">
      <alignment horizontal="left"/>
    </xf>
    <xf numFmtId="0" fontId="0" fillId="11" borderId="38" xfId="0" applyFill="1" applyBorder="1"/>
    <xf numFmtId="0" fontId="0" fillId="11" borderId="8" xfId="0" applyFill="1" applyBorder="1"/>
    <xf numFmtId="164" fontId="0" fillId="11" borderId="4" xfId="0" applyNumberFormat="1" applyFill="1" applyBorder="1" applyAlignment="1" applyProtection="1"/>
    <xf numFmtId="0" fontId="0" fillId="11" borderId="4" xfId="0" applyFill="1" applyBorder="1" applyAlignment="1" applyProtection="1"/>
    <xf numFmtId="0" fontId="13" fillId="0" borderId="0" xfId="0" applyFont="1"/>
    <xf numFmtId="0" fontId="12" fillId="6" borderId="11" xfId="0" applyFont="1" applyFill="1" applyBorder="1" applyAlignment="1" applyProtection="1">
      <alignment horizontal="center"/>
      <protection locked="0"/>
    </xf>
    <xf numFmtId="0" fontId="0" fillId="0" borderId="35" xfId="0" applyBorder="1"/>
    <xf numFmtId="0" fontId="12" fillId="6" borderId="37" xfId="0" applyFont="1" applyFill="1" applyBorder="1" applyAlignment="1" applyProtection="1">
      <alignment horizontal="center"/>
      <protection locked="0"/>
    </xf>
    <xf numFmtId="0" fontId="3" fillId="0" borderId="36" xfId="0" applyFont="1" applyBorder="1"/>
    <xf numFmtId="1" fontId="8" fillId="5" borderId="0" xfId="0" applyNumberFormat="1" applyFont="1" applyFill="1" applyBorder="1" applyProtection="1"/>
    <xf numFmtId="0" fontId="0" fillId="11" borderId="38" xfId="0" applyFill="1" applyBorder="1" applyAlignment="1">
      <alignment horizontal="left"/>
    </xf>
    <xf numFmtId="0" fontId="12" fillId="6" borderId="33" xfId="0" applyFont="1" applyFill="1" applyBorder="1" applyAlignment="1" applyProtection="1">
      <alignment horizontal="center"/>
    </xf>
    <xf numFmtId="0" fontId="12" fillId="6" borderId="21" xfId="0" applyFont="1" applyFill="1" applyBorder="1" applyAlignment="1" applyProtection="1">
      <alignment horizontal="center"/>
    </xf>
    <xf numFmtId="0" fontId="0" fillId="12" borderId="22" xfId="0" applyFill="1" applyBorder="1"/>
    <xf numFmtId="0" fontId="3" fillId="12" borderId="29" xfId="0" applyFont="1" applyFill="1" applyBorder="1"/>
    <xf numFmtId="0" fontId="0" fillId="12" borderId="23" xfId="0" applyFill="1" applyBorder="1"/>
    <xf numFmtId="0" fontId="0" fillId="12" borderId="24" xfId="0" applyFill="1" applyBorder="1"/>
    <xf numFmtId="0" fontId="1" fillId="12" borderId="0" xfId="0" applyFont="1" applyFill="1" applyBorder="1"/>
    <xf numFmtId="0" fontId="0" fillId="12" borderId="25" xfId="0" applyFill="1" applyBorder="1"/>
    <xf numFmtId="0" fontId="2" fillId="12" borderId="21" xfId="0" applyFont="1" applyFill="1" applyBorder="1" applyAlignment="1">
      <alignment horizontal="center"/>
    </xf>
    <xf numFmtId="0" fontId="2" fillId="12" borderId="21" xfId="0" applyFont="1" applyFill="1" applyBorder="1" applyAlignment="1">
      <alignment horizontal="left"/>
    </xf>
    <xf numFmtId="0" fontId="2" fillId="12" borderId="21" xfId="0" applyFont="1" applyFill="1" applyBorder="1"/>
    <xf numFmtId="0" fontId="0" fillId="12" borderId="28" xfId="0" applyFill="1" applyBorder="1"/>
    <xf numFmtId="0" fontId="0" fillId="12" borderId="26" xfId="0" applyFill="1" applyBorder="1"/>
    <xf numFmtId="0" fontId="0" fillId="12" borderId="27" xfId="0" applyFill="1" applyBorder="1" applyAlignment="1">
      <alignment horizontal="center"/>
    </xf>
    <xf numFmtId="0" fontId="0" fillId="12" borderId="27" xfId="0" applyFill="1" applyBorder="1" applyAlignment="1">
      <alignment horizontal="left"/>
    </xf>
    <xf numFmtId="0" fontId="0" fillId="12" borderId="27" xfId="0" applyFill="1" applyBorder="1"/>
    <xf numFmtId="164" fontId="0" fillId="12" borderId="24" xfId="0" applyNumberFormat="1" applyFill="1" applyBorder="1"/>
    <xf numFmtId="0" fontId="0" fillId="12" borderId="25" xfId="0" applyFill="1" applyBorder="1"/>
    <xf numFmtId="164" fontId="0" fillId="12" borderId="24" xfId="0" applyNumberFormat="1" applyFill="1" applyBorder="1"/>
    <xf numFmtId="0" fontId="0" fillId="0" borderId="0" xfId="0" applyProtection="1"/>
    <xf numFmtId="0" fontId="0" fillId="16" borderId="3" xfId="0" applyFill="1" applyBorder="1" applyProtection="1"/>
    <xf numFmtId="0" fontId="0" fillId="16" borderId="4" xfId="0" applyFill="1" applyBorder="1" applyProtection="1"/>
    <xf numFmtId="0" fontId="0" fillId="16" borderId="5" xfId="0" applyFill="1" applyBorder="1" applyProtection="1"/>
    <xf numFmtId="0" fontId="1" fillId="16" borderId="0" xfId="0" applyFont="1" applyFill="1" applyBorder="1" applyProtection="1"/>
    <xf numFmtId="0" fontId="0" fillId="16" borderId="0" xfId="0" applyFill="1" applyBorder="1" applyProtection="1"/>
    <xf numFmtId="0" fontId="17" fillId="16" borderId="0" xfId="0" applyFont="1" applyFill="1" applyBorder="1" applyProtection="1"/>
    <xf numFmtId="0" fontId="17" fillId="16" borderId="0" xfId="0" applyFont="1" applyFill="1" applyBorder="1" applyAlignment="1" applyProtection="1">
      <alignment vertical="top"/>
    </xf>
    <xf numFmtId="0" fontId="0" fillId="16" borderId="6" xfId="0" applyFill="1" applyBorder="1" applyProtection="1"/>
    <xf numFmtId="0" fontId="0" fillId="16" borderId="7" xfId="0" applyFill="1" applyBorder="1" applyProtection="1"/>
    <xf numFmtId="0" fontId="0" fillId="16" borderId="8" xfId="0" applyFill="1" applyBorder="1" applyProtection="1"/>
    <xf numFmtId="0" fontId="0" fillId="16" borderId="41" xfId="0" applyFill="1" applyBorder="1" applyProtection="1"/>
    <xf numFmtId="0" fontId="13" fillId="16" borderId="41" xfId="0" applyFont="1" applyFill="1" applyBorder="1" applyProtection="1"/>
    <xf numFmtId="0" fontId="0" fillId="16" borderId="1" xfId="0" applyFill="1" applyBorder="1" applyAlignment="1" applyProtection="1">
      <alignment vertical="center"/>
    </xf>
    <xf numFmtId="0" fontId="1" fillId="16" borderId="2" xfId="0" applyFont="1" applyFill="1" applyBorder="1" applyAlignment="1" applyProtection="1">
      <alignment vertical="center"/>
    </xf>
    <xf numFmtId="0" fontId="1" fillId="16" borderId="2" xfId="0" applyFont="1" applyFill="1" applyBorder="1" applyAlignment="1" applyProtection="1">
      <alignment horizontal="left"/>
    </xf>
    <xf numFmtId="0" fontId="0" fillId="17" borderId="1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2" xfId="0" applyFont="1" applyFill="1" applyBorder="1"/>
    <xf numFmtId="0" fontId="3" fillId="3" borderId="29" xfId="0" applyFont="1" applyFill="1" applyBorder="1"/>
    <xf numFmtId="0" fontId="9" fillId="5" borderId="0" xfId="0" applyFont="1" applyFill="1" applyBorder="1" applyAlignment="1"/>
    <xf numFmtId="0" fontId="0" fillId="18" borderId="9" xfId="0" applyFill="1" applyBorder="1" applyAlignment="1" applyProtection="1">
      <alignment horizontal="center"/>
    </xf>
    <xf numFmtId="0" fontId="0" fillId="18" borderId="10" xfId="0" applyFill="1" applyBorder="1" applyAlignment="1" applyProtection="1">
      <alignment horizontal="center"/>
    </xf>
    <xf numFmtId="165" fontId="0" fillId="9" borderId="0" xfId="0" applyNumberFormat="1" applyFill="1" applyBorder="1" applyProtection="1"/>
    <xf numFmtId="165" fontId="0" fillId="9" borderId="33" xfId="0" applyNumberFormat="1" applyFill="1" applyBorder="1" applyProtection="1">
      <protection locked="0"/>
    </xf>
    <xf numFmtId="165" fontId="0" fillId="9" borderId="21" xfId="0" applyNumberFormat="1" applyFill="1" applyBorder="1" applyProtection="1">
      <protection locked="0"/>
    </xf>
    <xf numFmtId="165" fontId="7" fillId="19" borderId="35" xfId="0" applyNumberFormat="1" applyFont="1" applyFill="1" applyBorder="1" applyAlignment="1">
      <alignment horizontal="center"/>
    </xf>
    <xf numFmtId="165" fontId="7" fillId="19" borderId="36" xfId="0" applyNumberFormat="1" applyFont="1" applyFill="1" applyBorder="1" applyAlignment="1">
      <alignment horizontal="center"/>
    </xf>
    <xf numFmtId="0" fontId="4" fillId="10" borderId="11" xfId="0" applyFont="1" applyFill="1" applyBorder="1" applyAlignment="1" applyProtection="1">
      <alignment horizontal="center" vertical="top"/>
    </xf>
    <xf numFmtId="165" fontId="16" fillId="10" borderId="13" xfId="0" applyNumberFormat="1" applyFont="1" applyFill="1" applyBorder="1" applyAlignment="1" applyProtection="1">
      <alignment horizontal="left" vertical="top"/>
    </xf>
    <xf numFmtId="0" fontId="4" fillId="10" borderId="37" xfId="0" applyFont="1" applyFill="1" applyBorder="1" applyAlignment="1" applyProtection="1">
      <alignment horizontal="center" vertical="top"/>
    </xf>
    <xf numFmtId="165" fontId="16" fillId="10" borderId="20" xfId="0" applyNumberFormat="1" applyFont="1" applyFill="1" applyBorder="1" applyAlignment="1" applyProtection="1">
      <alignment horizontal="left" vertical="top"/>
    </xf>
    <xf numFmtId="0" fontId="21" fillId="6" borderId="15" xfId="0" applyFont="1" applyFill="1" applyBorder="1" applyAlignment="1" applyProtection="1">
      <alignment horizontal="center"/>
      <protection locked="0"/>
    </xf>
    <xf numFmtId="0" fontId="22" fillId="5" borderId="0" xfId="0" applyFont="1" applyFill="1" applyBorder="1" applyAlignment="1">
      <alignment horizontal="center"/>
    </xf>
    <xf numFmtId="0" fontId="9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8" fillId="3" borderId="21" xfId="0" applyFont="1" applyFill="1" applyBorder="1" applyAlignment="1">
      <alignment horizontal="left"/>
    </xf>
    <xf numFmtId="0" fontId="8" fillId="3" borderId="21" xfId="0" applyFont="1" applyFill="1" applyBorder="1"/>
    <xf numFmtId="0" fontId="8" fillId="3" borderId="21" xfId="0" applyFont="1" applyFill="1" applyBorder="1" applyAlignment="1">
      <alignment horizontal="center"/>
    </xf>
    <xf numFmtId="0" fontId="3" fillId="11" borderId="4" xfId="0" applyFont="1" applyFill="1" applyBorder="1"/>
    <xf numFmtId="0" fontId="3" fillId="11" borderId="0" xfId="0" applyFont="1" applyFill="1" applyBorder="1"/>
    <xf numFmtId="0" fontId="3" fillId="11" borderId="1" xfId="0" applyFont="1" applyFill="1" applyBorder="1"/>
    <xf numFmtId="0" fontId="3" fillId="11" borderId="2" xfId="0" applyFont="1" applyFill="1" applyBorder="1"/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/>
    <xf numFmtId="0" fontId="3" fillId="2" borderId="9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165" fontId="0" fillId="7" borderId="30" xfId="0" applyNumberFormat="1" applyFill="1" applyBorder="1" applyAlignment="1" applyProtection="1">
      <alignment vertical="top"/>
    </xf>
    <xf numFmtId="0" fontId="0" fillId="7" borderId="32" xfId="0" applyFill="1" applyBorder="1" applyAlignment="1" applyProtection="1">
      <alignment vertical="top"/>
    </xf>
    <xf numFmtId="0" fontId="3" fillId="6" borderId="30" xfId="0" applyFont="1" applyFill="1" applyBorder="1" applyAlignment="1" applyProtection="1">
      <alignment horizontal="center"/>
      <protection locked="0"/>
    </xf>
    <xf numFmtId="0" fontId="3" fillId="6" borderId="32" xfId="0" applyFont="1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/>
    <xf numFmtId="0" fontId="0" fillId="6" borderId="32" xfId="0" applyFill="1" applyBorder="1" applyAlignment="1" applyProtection="1">
      <alignment horizontal="center" vertical="top"/>
      <protection locked="0"/>
    </xf>
    <xf numFmtId="0" fontId="6" fillId="5" borderId="0" xfId="0" applyFont="1" applyFill="1" applyBorder="1" applyAlignment="1" applyProtection="1">
      <alignment horizontal="center" vertical="top"/>
    </xf>
    <xf numFmtId="0" fontId="9" fillId="5" borderId="0" xfId="0" applyFont="1" applyFill="1" applyBorder="1" applyAlignment="1">
      <alignment horizontal="left"/>
    </xf>
    <xf numFmtId="0" fontId="3" fillId="6" borderId="30" xfId="0" applyFont="1" applyFill="1" applyBorder="1" applyAlignment="1" applyProtection="1">
      <alignment horizontal="center" vertical="top"/>
      <protection locked="0"/>
    </xf>
    <xf numFmtId="0" fontId="21" fillId="7" borderId="15" xfId="0" applyFont="1" applyFill="1" applyBorder="1" applyAlignment="1" applyProtection="1">
      <alignment horizontal="center"/>
    </xf>
    <xf numFmtId="0" fontId="21" fillId="7" borderId="18" xfId="0" applyFont="1" applyFill="1" applyBorder="1" applyAlignment="1" applyProtection="1">
      <alignment horizontal="center"/>
    </xf>
    <xf numFmtId="0" fontId="24" fillId="21" borderId="30" xfId="0" applyFont="1" applyFill="1" applyBorder="1" applyAlignment="1" applyProtection="1">
      <alignment horizontal="center"/>
    </xf>
    <xf numFmtId="0" fontId="24" fillId="21" borderId="32" xfId="0" applyFont="1" applyFill="1" applyBorder="1" applyAlignment="1" applyProtection="1">
      <alignment horizontal="center"/>
    </xf>
    <xf numFmtId="0" fontId="0" fillId="6" borderId="12" xfId="0" applyFill="1" applyBorder="1" applyProtection="1">
      <protection locked="0"/>
    </xf>
    <xf numFmtId="0" fontId="3" fillId="6" borderId="17" xfId="0" applyFont="1" applyFill="1" applyBorder="1" applyAlignment="1" applyProtection="1">
      <alignment horizontal="left"/>
      <protection locked="0"/>
    </xf>
    <xf numFmtId="0" fontId="3" fillId="6" borderId="18" xfId="0" applyFont="1" applyFill="1" applyBorder="1" applyAlignment="1" applyProtection="1">
      <alignment horizontal="left"/>
      <protection locked="0"/>
    </xf>
    <xf numFmtId="0" fontId="0" fillId="6" borderId="19" xfId="0" applyFill="1" applyBorder="1" applyProtection="1">
      <protection locked="0"/>
    </xf>
    <xf numFmtId="0" fontId="21" fillId="6" borderId="18" xfId="0" applyFont="1" applyFill="1" applyBorder="1" applyAlignment="1" applyProtection="1">
      <alignment horizontal="center"/>
      <protection locked="0"/>
    </xf>
    <xf numFmtId="0" fontId="21" fillId="6" borderId="19" xfId="0" applyFont="1" applyFill="1" applyBorder="1" applyAlignment="1" applyProtection="1">
      <alignment horizontal="center"/>
      <protection locked="0"/>
    </xf>
    <xf numFmtId="0" fontId="3" fillId="6" borderId="11" xfId="0" applyFont="1" applyFill="1" applyBorder="1" applyAlignment="1" applyProtection="1">
      <alignment horizontal="left"/>
      <protection locked="0"/>
    </xf>
    <xf numFmtId="0" fontId="0" fillId="6" borderId="13" xfId="0" applyFill="1" applyBorder="1" applyAlignment="1" applyProtection="1">
      <alignment horizontal="left"/>
      <protection locked="0"/>
    </xf>
    <xf numFmtId="0" fontId="3" fillId="6" borderId="14" xfId="0" applyFont="1" applyFill="1" applyBorder="1" applyAlignment="1" applyProtection="1">
      <alignment horizontal="left" vertical="top"/>
      <protection locked="0"/>
    </xf>
    <xf numFmtId="0" fontId="0" fillId="6" borderId="16" xfId="0" applyFill="1" applyBorder="1" applyAlignment="1" applyProtection="1">
      <alignment horizontal="left" vertical="top"/>
      <protection locked="0"/>
    </xf>
    <xf numFmtId="0" fontId="3" fillId="6" borderId="37" xfId="0" applyFont="1" applyFill="1" applyBorder="1" applyAlignment="1" applyProtection="1">
      <alignment horizontal="left"/>
      <protection locked="0"/>
    </xf>
    <xf numFmtId="0" fontId="0" fillId="6" borderId="20" xfId="0" applyFill="1" applyBorder="1" applyAlignment="1">
      <alignment horizontal="left"/>
    </xf>
    <xf numFmtId="0" fontId="0" fillId="6" borderId="16" xfId="0" applyFill="1" applyBorder="1" applyAlignment="1">
      <alignment horizontal="left" vertical="top"/>
    </xf>
    <xf numFmtId="0" fontId="3" fillId="6" borderId="37" xfId="0" applyFont="1" applyFill="1" applyBorder="1" applyAlignment="1" applyProtection="1">
      <alignment horizontal="left" vertical="top"/>
      <protection locked="0"/>
    </xf>
    <xf numFmtId="0" fontId="0" fillId="6" borderId="20" xfId="0" applyFill="1" applyBorder="1" applyAlignment="1">
      <alignment horizontal="left" vertical="top"/>
    </xf>
    <xf numFmtId="0" fontId="20" fillId="6" borderId="13" xfId="2" applyFill="1" applyBorder="1" applyAlignment="1" applyProtection="1">
      <alignment horizontal="left"/>
      <protection locked="0"/>
    </xf>
    <xf numFmtId="0" fontId="20" fillId="6" borderId="16" xfId="2" applyFill="1" applyBorder="1" applyAlignment="1" applyProtection="1">
      <alignment horizontal="left" vertical="top"/>
      <protection locked="0"/>
    </xf>
    <xf numFmtId="0" fontId="0" fillId="15" borderId="9" xfId="0" applyFill="1" applyBorder="1" applyAlignment="1" applyProtection="1">
      <alignment horizontal="center"/>
    </xf>
    <xf numFmtId="165" fontId="0" fillId="13" borderId="33" xfId="0" applyNumberFormat="1" applyFill="1" applyBorder="1" applyProtection="1"/>
    <xf numFmtId="165" fontId="0" fillId="14" borderId="35" xfId="0" applyNumberFormat="1" applyFill="1" applyBorder="1" applyAlignment="1" applyProtection="1">
      <alignment horizontal="center"/>
    </xf>
    <xf numFmtId="0" fontId="0" fillId="15" borderId="10" xfId="0" applyFill="1" applyBorder="1" applyAlignment="1" applyProtection="1">
      <alignment horizontal="center"/>
    </xf>
    <xf numFmtId="165" fontId="0" fillId="13" borderId="21" xfId="0" applyNumberFormat="1" applyFill="1" applyBorder="1" applyProtection="1"/>
    <xf numFmtId="165" fontId="0" fillId="14" borderId="36" xfId="0" applyNumberFormat="1" applyFill="1" applyBorder="1" applyAlignment="1" applyProtection="1">
      <alignment horizontal="center"/>
    </xf>
    <xf numFmtId="0" fontId="0" fillId="6" borderId="17" xfId="0" applyFill="1" applyBorder="1" applyAlignment="1" applyProtection="1">
      <alignment horizontal="left"/>
      <protection locked="0"/>
    </xf>
    <xf numFmtId="0" fontId="0" fillId="6" borderId="30" xfId="0" applyFill="1" applyBorder="1" applyAlignment="1" applyProtection="1">
      <alignment horizontal="left"/>
      <protection locked="0"/>
    </xf>
    <xf numFmtId="0" fontId="0" fillId="6" borderId="33" xfId="0" applyFill="1" applyBorder="1" applyAlignment="1" applyProtection="1">
      <alignment horizontal="left" wrapText="1"/>
      <protection locked="0"/>
    </xf>
    <xf numFmtId="0" fontId="0" fillId="6" borderId="18" xfId="0" applyFill="1" applyBorder="1" applyAlignment="1" applyProtection="1">
      <alignment horizontal="left"/>
      <protection locked="0"/>
    </xf>
    <xf numFmtId="0" fontId="0" fillId="6" borderId="32" xfId="0" applyFill="1" applyBorder="1" applyAlignment="1" applyProtection="1">
      <alignment horizontal="left"/>
      <protection locked="0"/>
    </xf>
    <xf numFmtId="0" fontId="0" fillId="6" borderId="21" xfId="0" applyFill="1" applyBorder="1" applyAlignment="1" applyProtection="1">
      <alignment horizontal="left" wrapText="1"/>
      <protection locked="0"/>
    </xf>
    <xf numFmtId="0" fontId="0" fillId="6" borderId="32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left"/>
      <protection locked="0"/>
    </xf>
    <xf numFmtId="0" fontId="0" fillId="6" borderId="19" xfId="0" applyFill="1" applyBorder="1" applyAlignment="1" applyProtection="1">
      <alignment horizontal="left"/>
      <protection locked="0"/>
    </xf>
    <xf numFmtId="0" fontId="3" fillId="6" borderId="12" xfId="0" applyFont="1" applyFill="1" applyBorder="1" applyAlignment="1" applyProtection="1">
      <alignment vertical="top"/>
      <protection locked="0"/>
    </xf>
    <xf numFmtId="0" fontId="4" fillId="6" borderId="12" xfId="0" applyFont="1" applyFill="1" applyBorder="1" applyAlignment="1" applyProtection="1">
      <alignment horizontal="left" vertical="top"/>
      <protection locked="0"/>
    </xf>
    <xf numFmtId="0" fontId="3" fillId="6" borderId="19" xfId="0" applyFont="1" applyFill="1" applyBorder="1" applyAlignment="1" applyProtection="1">
      <alignment vertical="top"/>
      <protection locked="0"/>
    </xf>
    <xf numFmtId="0" fontId="4" fillId="6" borderId="19" xfId="0" applyFont="1" applyFill="1" applyBorder="1" applyAlignment="1" applyProtection="1">
      <alignment horizontal="left" vertical="top"/>
      <protection locked="0"/>
    </xf>
    <xf numFmtId="0" fontId="0" fillId="6" borderId="0" xfId="0" applyFill="1" applyBorder="1"/>
    <xf numFmtId="0" fontId="0" fillId="16" borderId="14" xfId="0" applyFill="1" applyBorder="1" applyAlignment="1" applyProtection="1">
      <alignment horizontal="center" vertical="top"/>
    </xf>
    <xf numFmtId="0" fontId="3" fillId="6" borderId="15" xfId="0" applyFont="1" applyFill="1" applyBorder="1" applyAlignment="1" applyProtection="1">
      <alignment vertical="top"/>
      <protection locked="0"/>
    </xf>
    <xf numFmtId="0" fontId="0" fillId="16" borderId="16" xfId="0" applyFill="1" applyBorder="1" applyAlignment="1">
      <alignment vertical="top"/>
    </xf>
    <xf numFmtId="0" fontId="5" fillId="6" borderId="43" xfId="0" applyFont="1" applyFill="1" applyBorder="1" applyAlignment="1" applyProtection="1">
      <alignment horizontal="left" vertical="top"/>
      <protection locked="0"/>
    </xf>
    <xf numFmtId="0" fontId="6" fillId="4" borderId="24" xfId="0" applyFont="1" applyFill="1" applyBorder="1" applyAlignment="1">
      <alignment vertical="top"/>
    </xf>
    <xf numFmtId="0" fontId="8" fillId="4" borderId="21" xfId="0" applyFont="1" applyFill="1" applyBorder="1" applyAlignment="1">
      <alignment horizontal="center" vertical="top"/>
    </xf>
    <xf numFmtId="0" fontId="8" fillId="4" borderId="21" xfId="0" applyFont="1" applyFill="1" applyBorder="1" applyAlignment="1">
      <alignment vertical="top"/>
    </xf>
    <xf numFmtId="0" fontId="6" fillId="4" borderId="25" xfId="0" applyFont="1" applyFill="1" applyBorder="1" applyAlignment="1">
      <alignment vertical="top"/>
    </xf>
    <xf numFmtId="164" fontId="6" fillId="4" borderId="24" xfId="0" applyNumberFormat="1" applyFont="1" applyFill="1" applyBorder="1" applyAlignment="1">
      <alignment vertical="top"/>
    </xf>
    <xf numFmtId="0" fontId="3" fillId="16" borderId="11" xfId="0" applyFont="1" applyFill="1" applyBorder="1" applyAlignment="1" applyProtection="1">
      <alignment horizontal="center" vertical="top"/>
    </xf>
    <xf numFmtId="0" fontId="0" fillId="6" borderId="12" xfId="0" applyFill="1" applyBorder="1" applyAlignment="1" applyProtection="1">
      <alignment vertical="top"/>
      <protection locked="0"/>
    </xf>
    <xf numFmtId="0" fontId="13" fillId="20" borderId="30" xfId="0" applyFont="1" applyFill="1" applyBorder="1" applyAlignment="1" applyProtection="1">
      <alignment horizontal="center" vertical="top"/>
    </xf>
    <xf numFmtId="0" fontId="0" fillId="16" borderId="13" xfId="0" applyFill="1" applyBorder="1" applyAlignment="1">
      <alignment vertical="top"/>
    </xf>
    <xf numFmtId="0" fontId="5" fillId="6" borderId="42" xfId="0" applyFont="1" applyFill="1" applyBorder="1" applyAlignment="1" applyProtection="1">
      <alignment horizontal="left" vertical="top"/>
      <protection locked="0"/>
    </xf>
    <xf numFmtId="0" fontId="0" fillId="6" borderId="15" xfId="0" applyFill="1" applyBorder="1" applyAlignment="1" applyProtection="1">
      <alignment vertical="top"/>
      <protection locked="0"/>
    </xf>
    <xf numFmtId="0" fontId="13" fillId="20" borderId="32" xfId="0" applyFont="1" applyFill="1" applyBorder="1" applyAlignment="1" applyProtection="1">
      <alignment horizontal="center" vertical="top"/>
    </xf>
    <xf numFmtId="0" fontId="0" fillId="16" borderId="20" xfId="0" applyFill="1" applyBorder="1" applyAlignment="1">
      <alignment vertical="top"/>
    </xf>
    <xf numFmtId="0" fontId="5" fillId="6" borderId="44" xfId="0" applyFont="1" applyFill="1" applyBorder="1" applyAlignment="1" applyProtection="1">
      <alignment horizontal="left" vertical="top"/>
      <protection locked="0"/>
    </xf>
    <xf numFmtId="0" fontId="6" fillId="4" borderId="26" xfId="0" applyFont="1" applyFill="1" applyBorder="1" applyAlignment="1">
      <alignment vertical="top"/>
    </xf>
    <xf numFmtId="0" fontId="0" fillId="4" borderId="27" xfId="0" applyFill="1" applyBorder="1" applyAlignment="1">
      <alignment horizontal="center" vertical="top"/>
    </xf>
    <xf numFmtId="0" fontId="0" fillId="4" borderId="27" xfId="0" applyFill="1" applyBorder="1" applyAlignment="1">
      <alignment vertical="top"/>
    </xf>
    <xf numFmtId="0" fontId="6" fillId="4" borderId="28" xfId="0" applyFont="1" applyFill="1" applyBorder="1" applyAlignment="1">
      <alignment vertical="top"/>
    </xf>
    <xf numFmtId="0" fontId="3" fillId="16" borderId="14" xfId="0" applyFont="1" applyFill="1" applyBorder="1" applyAlignment="1" applyProtection="1">
      <alignment horizontal="center" vertical="top"/>
    </xf>
    <xf numFmtId="0" fontId="13" fillId="22" borderId="31" xfId="0" applyFont="1" applyFill="1" applyBorder="1" applyAlignment="1" applyProtection="1">
      <alignment horizontal="center" vertical="top"/>
    </xf>
    <xf numFmtId="0" fontId="26" fillId="5" borderId="34" xfId="0" applyFont="1" applyFill="1" applyBorder="1" applyAlignment="1">
      <alignment shrinkToFit="1"/>
    </xf>
    <xf numFmtId="0" fontId="4" fillId="10" borderId="14" xfId="0" applyFont="1" applyFill="1" applyBorder="1" applyAlignment="1" applyProtection="1">
      <alignment horizontal="center" vertical="top"/>
    </xf>
    <xf numFmtId="0" fontId="4" fillId="6" borderId="15" xfId="0" applyFont="1" applyFill="1" applyBorder="1" applyAlignment="1" applyProtection="1">
      <alignment horizontal="left" vertical="top"/>
      <protection locked="0"/>
    </xf>
    <xf numFmtId="165" fontId="16" fillId="10" borderId="16" xfId="0" applyNumberFormat="1" applyFont="1" applyFill="1" applyBorder="1" applyAlignment="1" applyProtection="1">
      <alignment horizontal="left" vertical="top"/>
    </xf>
    <xf numFmtId="0" fontId="3" fillId="2" borderId="45" xfId="0" applyFont="1" applyFill="1" applyBorder="1" applyAlignment="1" applyProtection="1">
      <alignment horizontal="center"/>
    </xf>
    <xf numFmtId="0" fontId="3" fillId="6" borderId="46" xfId="0" applyFont="1" applyFill="1" applyBorder="1" applyAlignment="1" applyProtection="1">
      <alignment horizontal="left"/>
      <protection locked="0"/>
    </xf>
    <xf numFmtId="0" fontId="0" fillId="6" borderId="15" xfId="0" applyFill="1" applyBorder="1" applyProtection="1">
      <protection locked="0"/>
    </xf>
    <xf numFmtId="165" fontId="0" fillId="7" borderId="31" xfId="0" applyNumberFormat="1" applyFill="1" applyBorder="1" applyAlignment="1" applyProtection="1">
      <alignment vertical="top"/>
    </xf>
    <xf numFmtId="165" fontId="0" fillId="2" borderId="46" xfId="0" applyNumberFormat="1" applyFill="1" applyBorder="1" applyAlignment="1" applyProtection="1">
      <alignment vertical="top"/>
    </xf>
    <xf numFmtId="0" fontId="3" fillId="6" borderId="31" xfId="0" applyFont="1" applyFill="1" applyBorder="1" applyAlignment="1" applyProtection="1">
      <alignment horizontal="center" vertical="top"/>
      <protection locked="0"/>
    </xf>
    <xf numFmtId="0" fontId="24" fillId="21" borderId="31" xfId="0" applyFont="1" applyFill="1" applyBorder="1" applyAlignment="1" applyProtection="1">
      <alignment horizontal="center"/>
    </xf>
    <xf numFmtId="0" fontId="3" fillId="6" borderId="31" xfId="0" applyFont="1" applyFill="1" applyBorder="1" applyAlignment="1" applyProtection="1">
      <alignment horizontal="center"/>
      <protection locked="0"/>
    </xf>
    <xf numFmtId="0" fontId="21" fillId="7" borderId="46" xfId="0" applyFont="1" applyFill="1" applyBorder="1" applyAlignment="1" applyProtection="1">
      <alignment horizontal="center"/>
    </xf>
    <xf numFmtId="0" fontId="21" fillId="6" borderId="46" xfId="0" applyFon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</xf>
    <xf numFmtId="165" fontId="0" fillId="2" borderId="16" xfId="0" applyNumberFormat="1" applyFill="1" applyBorder="1" applyAlignment="1" applyProtection="1">
      <alignment horizontal="center"/>
    </xf>
    <xf numFmtId="0" fontId="0" fillId="18" borderId="45" xfId="0" applyFill="1" applyBorder="1" applyAlignment="1" applyProtection="1">
      <alignment horizontal="center"/>
    </xf>
    <xf numFmtId="0" fontId="0" fillId="6" borderId="46" xfId="0" applyFill="1" applyBorder="1" applyAlignment="1" applyProtection="1">
      <alignment horizontal="left"/>
      <protection locked="0"/>
    </xf>
    <xf numFmtId="0" fontId="0" fillId="6" borderId="15" xfId="0" applyFill="1" applyBorder="1" applyAlignment="1" applyProtection="1">
      <alignment horizontal="left"/>
      <protection locked="0"/>
    </xf>
    <xf numFmtId="0" fontId="0" fillId="6" borderId="31" xfId="0" applyFill="1" applyBorder="1" applyAlignment="1" applyProtection="1">
      <alignment horizontal="left"/>
      <protection locked="0"/>
    </xf>
    <xf numFmtId="165" fontId="0" fillId="8" borderId="0" xfId="0" applyNumberFormat="1" applyFill="1" applyBorder="1" applyProtection="1">
      <protection locked="0"/>
    </xf>
    <xf numFmtId="165" fontId="0" fillId="9" borderId="0" xfId="0" applyNumberFormat="1" applyFill="1" applyBorder="1" applyProtection="1">
      <protection locked="0"/>
    </xf>
    <xf numFmtId="165" fontId="7" fillId="19" borderId="47" xfId="0" applyNumberFormat="1" applyFont="1" applyFill="1" applyBorder="1" applyAlignment="1">
      <alignment horizontal="center"/>
    </xf>
    <xf numFmtId="164" fontId="0" fillId="12" borderId="24" xfId="0" applyNumberFormat="1" applyFill="1" applyBorder="1" applyAlignment="1">
      <alignment vertical="top"/>
    </xf>
    <xf numFmtId="0" fontId="0" fillId="15" borderId="45" xfId="0" applyFill="1" applyBorder="1" applyAlignment="1" applyProtection="1">
      <alignment horizontal="center" vertical="top"/>
    </xf>
    <xf numFmtId="0" fontId="0" fillId="6" borderId="46" xfId="0" applyFill="1" applyBorder="1" applyAlignment="1" applyProtection="1">
      <alignment horizontal="left" vertical="top"/>
      <protection locked="0"/>
    </xf>
    <xf numFmtId="0" fontId="0" fillId="6" borderId="31" xfId="0" applyFill="1" applyBorder="1" applyAlignment="1" applyProtection="1">
      <alignment horizontal="left" vertical="top"/>
      <protection locked="0"/>
    </xf>
    <xf numFmtId="0" fontId="0" fillId="6" borderId="0" xfId="0" applyFill="1" applyBorder="1" applyAlignment="1" applyProtection="1">
      <alignment horizontal="left" vertical="top" wrapText="1"/>
      <protection locked="0"/>
    </xf>
    <xf numFmtId="165" fontId="0" fillId="13" borderId="0" xfId="0" applyNumberFormat="1" applyFill="1" applyBorder="1" applyAlignment="1" applyProtection="1">
      <alignment vertical="top"/>
    </xf>
    <xf numFmtId="165" fontId="0" fillId="14" borderId="47" xfId="0" applyNumberFormat="1" applyFill="1" applyBorder="1" applyAlignment="1" applyProtection="1">
      <alignment horizontal="center" vertical="top"/>
    </xf>
    <xf numFmtId="0" fontId="0" fillId="12" borderId="25" xfId="0" applyFill="1" applyBorder="1" applyAlignment="1">
      <alignment vertical="top"/>
    </xf>
    <xf numFmtId="0" fontId="0" fillId="0" borderId="0" xfId="0" applyAlignment="1">
      <alignment vertical="top"/>
    </xf>
    <xf numFmtId="166" fontId="18" fillId="6" borderId="39" xfId="0" applyNumberFormat="1" applyFont="1" applyFill="1" applyBorder="1" applyAlignment="1" applyProtection="1">
      <alignment horizontal="left"/>
      <protection locked="0"/>
    </xf>
    <xf numFmtId="0" fontId="0" fillId="6" borderId="40" xfId="0" applyFill="1" applyBorder="1" applyAlignment="1" applyProtection="1">
      <alignment horizontal="left"/>
      <protection locked="0"/>
    </xf>
    <xf numFmtId="0" fontId="19" fillId="6" borderId="39" xfId="0" applyFont="1" applyFill="1" applyBorder="1" applyAlignment="1" applyProtection="1">
      <alignment horizontal="left" vertical="top"/>
      <protection locked="0"/>
    </xf>
    <xf numFmtId="0" fontId="0" fillId="6" borderId="40" xfId="0" applyFill="1" applyBorder="1" applyAlignment="1" applyProtection="1">
      <alignment horizontal="left" vertical="top"/>
      <protection locked="0"/>
    </xf>
    <xf numFmtId="0" fontId="2" fillId="12" borderId="21" xfId="0" applyFont="1" applyFill="1" applyBorder="1" applyAlignment="1">
      <alignment horizontal="left"/>
    </xf>
    <xf numFmtId="0" fontId="1" fillId="12" borderId="0" xfId="0" applyFont="1" applyFill="1" applyBorder="1" applyAlignment="1" applyProtection="1">
      <alignment horizontal="left"/>
      <protection locked="0"/>
    </xf>
    <xf numFmtId="0" fontId="10" fillId="4" borderId="0" xfId="0" applyFont="1" applyFill="1" applyBorder="1" applyAlignment="1">
      <alignment horizontal="left"/>
    </xf>
    <xf numFmtId="0" fontId="3" fillId="3" borderId="29" xfId="0" applyFont="1" applyFill="1" applyBorder="1"/>
    <xf numFmtId="0" fontId="10" fillId="3" borderId="0" xfId="0" applyFont="1" applyFill="1" applyBorder="1" applyAlignment="1">
      <alignment horizontal="left"/>
    </xf>
    <xf numFmtId="0" fontId="8" fillId="3" borderId="21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left"/>
    </xf>
    <xf numFmtId="0" fontId="0" fillId="0" borderId="0" xfId="0" applyAlignment="1"/>
    <xf numFmtId="0" fontId="9" fillId="5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5" borderId="0" xfId="0" applyFont="1" applyFill="1" applyBorder="1" applyProtection="1"/>
    <xf numFmtId="0" fontId="8" fillId="5" borderId="21" xfId="0" applyFont="1" applyFill="1" applyBorder="1" applyAlignment="1">
      <alignment horizontal="left"/>
    </xf>
    <xf numFmtId="0" fontId="0" fillId="0" borderId="21" xfId="0" applyBorder="1" applyAlignment="1">
      <alignment horizontal="left"/>
    </xf>
    <xf numFmtId="0" fontId="23" fillId="11" borderId="0" xfId="0" applyFont="1" applyFill="1" applyBorder="1" applyAlignment="1">
      <alignment vertical="top"/>
    </xf>
  </cellXfs>
  <cellStyles count="3">
    <cellStyle name="Hyperlink" xfId="2" builtinId="8"/>
    <cellStyle name="Normal" xfId="0" builtinId="0"/>
    <cellStyle name="Normal 2" xfId="1"/>
  </cellStyles>
  <dxfs count="8"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</dxfs>
  <tableStyles count="0" defaultTableStyle="TableStyleMedium2" defaultPivotStyle="PivotStyleLight16"/>
  <colors>
    <mruColors>
      <color rgb="FFFCE599"/>
      <color rgb="FFF8F7F2"/>
      <color rgb="FFF3F9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23</xdr:row>
      <xdr:rowOff>62400</xdr:rowOff>
    </xdr:from>
    <xdr:to>
      <xdr:col>3</xdr:col>
      <xdr:colOff>511425</xdr:colOff>
      <xdr:row>23</xdr:row>
      <xdr:rowOff>242400</xdr:rowOff>
    </xdr:to>
    <xdr:sp macro="[0]!AddRow_Click" textlink="">
      <xdr:nvSpPr>
        <xdr:cNvPr id="8" name="Bevel 7"/>
        <xdr:cNvSpPr/>
      </xdr:nvSpPr>
      <xdr:spPr bwMode="auto">
        <a:xfrm>
          <a:off x="190500" y="3196125"/>
          <a:ext cx="540000" cy="180000"/>
        </a:xfrm>
        <a:prstGeom prst="bevel">
          <a:avLst/>
        </a:prstGeom>
        <a:solidFill>
          <a:srgbClr val="F3F9FB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666750</xdr:colOff>
      <xdr:row>23</xdr:row>
      <xdr:rowOff>62400</xdr:rowOff>
    </xdr:from>
    <xdr:to>
      <xdr:col>3</xdr:col>
      <xdr:colOff>1206750</xdr:colOff>
      <xdr:row>23</xdr:row>
      <xdr:rowOff>242400</xdr:rowOff>
    </xdr:to>
    <xdr:sp macro="[0]!DelRow_Click" textlink="">
      <xdr:nvSpPr>
        <xdr:cNvPr id="9" name="Bevel 8"/>
        <xdr:cNvSpPr/>
      </xdr:nvSpPr>
      <xdr:spPr bwMode="auto">
        <a:xfrm>
          <a:off x="885825" y="3196125"/>
          <a:ext cx="540000" cy="180000"/>
        </a:xfrm>
        <a:prstGeom prst="bevel">
          <a:avLst/>
        </a:prstGeom>
        <a:solidFill>
          <a:srgbClr val="F3F9FB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4857750</xdr:colOff>
      <xdr:row>2</xdr:row>
      <xdr:rowOff>2667000</xdr:rowOff>
    </xdr:from>
    <xdr:to>
      <xdr:col>2</xdr:col>
      <xdr:colOff>5492751</xdr:colOff>
      <xdr:row>2</xdr:row>
      <xdr:rowOff>3266407</xdr:rowOff>
    </xdr:to>
    <xdr:cxnSp macro="">
      <xdr:nvCxnSpPr>
        <xdr:cNvPr id="14" name="AutoShape 14"/>
        <xdr:cNvCxnSpPr>
          <a:cxnSpLocks noChangeShapeType="1"/>
          <a:endCxn id="24" idx="1"/>
        </xdr:cNvCxnSpPr>
      </xdr:nvCxnSpPr>
      <xdr:spPr bwMode="auto">
        <a:xfrm>
          <a:off x="5076825" y="3000375"/>
          <a:ext cx="635001" cy="599407"/>
        </a:xfrm>
        <a:prstGeom prst="bentConnector3">
          <a:avLst>
            <a:gd name="adj1" fmla="val 50000"/>
          </a:avLst>
        </a:prstGeom>
        <a:noFill/>
        <a:ln w="9525">
          <a:solidFill>
            <a:schemeClr val="tx1"/>
          </a:solidFill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4857751</xdr:colOff>
      <xdr:row>2</xdr:row>
      <xdr:rowOff>1328068</xdr:rowOff>
    </xdr:from>
    <xdr:to>
      <xdr:col>2</xdr:col>
      <xdr:colOff>5492752</xdr:colOff>
      <xdr:row>2</xdr:row>
      <xdr:rowOff>1904999</xdr:rowOff>
    </xdr:to>
    <xdr:cxnSp macro="">
      <xdr:nvCxnSpPr>
        <xdr:cNvPr id="15" name="Elbow Connector 14"/>
        <xdr:cNvCxnSpPr>
          <a:stCxn id="22" idx="1"/>
        </xdr:cNvCxnSpPr>
      </xdr:nvCxnSpPr>
      <xdr:spPr>
        <a:xfrm rot="10800000" flipV="1">
          <a:off x="5076826" y="1661443"/>
          <a:ext cx="635001" cy="576931"/>
        </a:xfrm>
        <a:prstGeom prst="bentConnector3">
          <a:avLst>
            <a:gd name="adj1" fmla="val 50000"/>
          </a:avLst>
        </a:prstGeom>
        <a:noFill/>
        <a:ln w="9525">
          <a:solidFill>
            <a:schemeClr val="tx1"/>
          </a:solidFill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3552827</xdr:colOff>
      <xdr:row>2</xdr:row>
      <xdr:rowOff>358900</xdr:rowOff>
    </xdr:from>
    <xdr:to>
      <xdr:col>2</xdr:col>
      <xdr:colOff>5492752</xdr:colOff>
      <xdr:row>2</xdr:row>
      <xdr:rowOff>1127238</xdr:rowOff>
    </xdr:to>
    <xdr:cxnSp macro="">
      <xdr:nvCxnSpPr>
        <xdr:cNvPr id="17" name="Elbow Connector 16"/>
        <xdr:cNvCxnSpPr>
          <a:stCxn id="23" idx="1"/>
          <a:endCxn id="21" idx="0"/>
        </xdr:cNvCxnSpPr>
      </xdr:nvCxnSpPr>
      <xdr:spPr>
        <a:xfrm rot="10800000" flipV="1">
          <a:off x="3771902" y="692275"/>
          <a:ext cx="1939925" cy="768338"/>
        </a:xfrm>
        <a:prstGeom prst="bentConnector2">
          <a:avLst/>
        </a:prstGeom>
        <a:noFill/>
        <a:ln w="9525">
          <a:solidFill>
            <a:schemeClr val="tx1"/>
          </a:solidFill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3552827</xdr:colOff>
      <xdr:row>2</xdr:row>
      <xdr:rowOff>3467239</xdr:rowOff>
    </xdr:from>
    <xdr:to>
      <xdr:col>2</xdr:col>
      <xdr:colOff>5492752</xdr:colOff>
      <xdr:row>2</xdr:row>
      <xdr:rowOff>4235576</xdr:rowOff>
    </xdr:to>
    <xdr:cxnSp macro="">
      <xdr:nvCxnSpPr>
        <xdr:cNvPr id="19" name="Elbow Connector 18"/>
        <xdr:cNvCxnSpPr>
          <a:stCxn id="20" idx="1"/>
          <a:endCxn id="21" idx="2"/>
        </xdr:cNvCxnSpPr>
      </xdr:nvCxnSpPr>
      <xdr:spPr>
        <a:xfrm rot="10800000">
          <a:off x="3771902" y="3800614"/>
          <a:ext cx="1939925" cy="768337"/>
        </a:xfrm>
        <a:prstGeom prst="bentConnector2">
          <a:avLst/>
        </a:prstGeom>
        <a:noFill/>
        <a:ln w="9525">
          <a:solidFill>
            <a:schemeClr val="tx1"/>
          </a:solidFill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2257426</xdr:colOff>
      <xdr:row>2</xdr:row>
      <xdr:rowOff>1127238</xdr:rowOff>
    </xdr:from>
    <xdr:to>
      <xdr:col>2</xdr:col>
      <xdr:colOff>4848225</xdr:colOff>
      <xdr:row>2</xdr:row>
      <xdr:rowOff>3467238</xdr:rowOff>
    </xdr:to>
    <xdr:sp macro="[0]!BoundarySheet.AdjustBigCell_Click" textlink="">
      <xdr:nvSpPr>
        <xdr:cNvPr id="21" name="Rectangle 20"/>
        <xdr:cNvSpPr>
          <a:spLocks noChangeArrowheads="1"/>
        </xdr:cNvSpPr>
      </xdr:nvSpPr>
      <xdr:spPr bwMode="auto">
        <a:xfrm>
          <a:off x="2476501" y="1460613"/>
          <a:ext cx="2590799" cy="234000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wrap="square" anchor="t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algn="l">
            <a:defRPr/>
          </a:pPr>
          <a: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Functional</a:t>
          </a:r>
          <a:b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</a:br>
          <a: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Objects</a:t>
          </a:r>
          <a:br>
            <a:rPr lang="en-US" sz="2400" kern="1200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+mn-cs"/>
            </a:rPr>
          </a:br>
          <a: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hosting a</a:t>
          </a:r>
          <a:br>
            <a:rPr lang="en-US" sz="2400" kern="1200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+mn-cs"/>
            </a:rPr>
          </a:br>
          <a: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total of</a:t>
          </a:r>
          <a:br>
            <a:rPr lang="en-US" sz="2400" kern="1200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+mn-cs"/>
            </a:rPr>
          </a:br>
          <a:r>
            <a:rPr lang="en-US" sz="180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eight</a:t>
          </a:r>
          <a:br>
            <a:rPr lang="en-US" sz="2400" kern="1200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+mn-cs"/>
            </a:rPr>
          </a:br>
          <a:r>
            <a:rPr lang="en-US" sz="1800" baseline="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Functional</a:t>
          </a:r>
          <a:br>
            <a:rPr lang="en-US" sz="2400" kern="1200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+mn-cs"/>
            </a:rPr>
          </a:br>
          <a:r>
            <a:rPr lang="en-US" sz="1800" kern="120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Narrow" pitchFamily="34" charset="0"/>
              <a:ea typeface="+mn-ea"/>
              <a:cs typeface="+mn-cs"/>
            </a:rPr>
            <a:t>P</a:t>
          </a:r>
          <a:r>
            <a:rPr lang="en-US" sz="1800" baseline="0">
              <a:solidFill>
                <a:schemeClr val="accent1">
                  <a:lumMod val="20000"/>
                  <a:lumOff val="80000"/>
                </a:schemeClr>
              </a:solidFill>
              <a:latin typeface="Arial Narrow" pitchFamily="34" charset="0"/>
            </a:rPr>
            <a:t>rocesses</a:t>
          </a:r>
          <a:endParaRPr lang="en-US" sz="1800">
            <a:solidFill>
              <a:schemeClr val="accent1">
                <a:lumMod val="20000"/>
                <a:lumOff val="80000"/>
              </a:schemeClr>
            </a:solidFill>
            <a:latin typeface="Arial Narrow" pitchFamily="34" charset="0"/>
          </a:endParaRPr>
        </a:p>
      </xdr:txBody>
    </xdr:sp>
    <xdr:clientData/>
  </xdr:twoCellAnchor>
  <xdr:twoCellAnchor editAs="absolute">
    <xdr:from>
      <xdr:col>2</xdr:col>
      <xdr:colOff>5492751</xdr:colOff>
      <xdr:row>2</xdr:row>
      <xdr:rowOff>1058069</xdr:rowOff>
    </xdr:from>
    <xdr:to>
      <xdr:col>2</xdr:col>
      <xdr:colOff>7292751</xdr:colOff>
      <xdr:row>2</xdr:row>
      <xdr:rowOff>1598069</xdr:rowOff>
    </xdr:to>
    <xdr:sp macro="" textlink="">
      <xdr:nvSpPr>
        <xdr:cNvPr id="22" name="Flowchart: Predefined Process 21"/>
        <xdr:cNvSpPr>
          <a:spLocks noChangeArrowheads="1"/>
        </xdr:cNvSpPr>
      </xdr:nvSpPr>
      <xdr:spPr bwMode="auto">
        <a:xfrm>
          <a:off x="5711826" y="1391444"/>
          <a:ext cx="1800000" cy="54000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defRPr/>
          </a:pPr>
          <a:r>
            <a:rPr lang="en-US" sz="18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Grocery Shop</a:t>
          </a:r>
        </a:p>
      </xdr:txBody>
    </xdr:sp>
    <xdr:clientData/>
  </xdr:twoCellAnchor>
  <xdr:twoCellAnchor editAs="absolute">
    <xdr:from>
      <xdr:col>2</xdr:col>
      <xdr:colOff>5492751</xdr:colOff>
      <xdr:row>2</xdr:row>
      <xdr:rowOff>2996407</xdr:rowOff>
    </xdr:from>
    <xdr:to>
      <xdr:col>2</xdr:col>
      <xdr:colOff>7292751</xdr:colOff>
      <xdr:row>2</xdr:row>
      <xdr:rowOff>3536407</xdr:rowOff>
    </xdr:to>
    <xdr:sp macro="" textlink="">
      <xdr:nvSpPr>
        <xdr:cNvPr id="24" name="Flowchart: Predefined Process 23"/>
        <xdr:cNvSpPr>
          <a:spLocks noChangeArrowheads="1"/>
        </xdr:cNvSpPr>
      </xdr:nvSpPr>
      <xdr:spPr bwMode="auto">
        <a:xfrm>
          <a:off x="5711826" y="3329782"/>
          <a:ext cx="1800000" cy="54000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defRPr/>
          </a:pPr>
          <a:r>
            <a:rPr lang="en-US" sz="18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Boiling Plates</a:t>
          </a:r>
        </a:p>
      </xdr:txBody>
    </xdr:sp>
    <xdr:clientData/>
  </xdr:twoCellAnchor>
  <xdr:twoCellAnchor editAs="absolute">
    <xdr:from>
      <xdr:col>2</xdr:col>
      <xdr:colOff>127000</xdr:colOff>
      <xdr:row>2</xdr:row>
      <xdr:rowOff>2027238</xdr:rowOff>
    </xdr:from>
    <xdr:to>
      <xdr:col>2</xdr:col>
      <xdr:colOff>1927000</xdr:colOff>
      <xdr:row>2</xdr:row>
      <xdr:rowOff>2567238</xdr:rowOff>
    </xdr:to>
    <xdr:sp macro="" textlink="">
      <xdr:nvSpPr>
        <xdr:cNvPr id="25" name="Flowchart: Data 24"/>
        <xdr:cNvSpPr>
          <a:spLocks noChangeArrowheads="1"/>
        </xdr:cNvSpPr>
      </xdr:nvSpPr>
      <xdr:spPr bwMode="auto">
        <a:xfrm>
          <a:off x="346075" y="2360613"/>
          <a:ext cx="1800000" cy="540000"/>
        </a:xfrm>
        <a:prstGeom prst="flowChartInputOutput">
          <a:avLst/>
        </a:prstGeom>
        <a:gradFill rotWithShape="0">
          <a:gsLst>
            <a:gs pos="0">
              <a:srgbClr val="FCE599"/>
            </a:gs>
            <a:gs pos="50000">
              <a:srgbClr val="FFC000"/>
            </a:gs>
            <a:gs pos="100000">
              <a:srgbClr val="FCE599"/>
            </a:gs>
          </a:gsLst>
          <a:lin ang="5400000" scaled="1"/>
        </a:gradFill>
        <a:ln w="9525" algn="ctr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spcBef>
              <a:spcPct val="0"/>
            </a:spcBef>
            <a:spcAft>
              <a:spcPct val="0"/>
            </a:spcAft>
            <a:defRPr/>
          </a:pPr>
          <a:r>
            <a:rPr lang="en-US" sz="1800" kern="1200">
              <a:solidFill>
                <a:schemeClr val="tx1"/>
              </a:solidFill>
              <a:latin typeface="Arial Narrow" pitchFamily="34" charset="0"/>
              <a:ea typeface="+mn-ea"/>
              <a:cs typeface="Arial" charset="0"/>
            </a:rPr>
            <a:t>Kitchen User</a:t>
          </a:r>
        </a:p>
      </xdr:txBody>
    </xdr:sp>
    <xdr:clientData/>
  </xdr:twoCellAnchor>
  <xdr:twoCellAnchor editAs="absolute">
    <xdr:from>
      <xdr:col>2</xdr:col>
      <xdr:colOff>5492751</xdr:colOff>
      <xdr:row>2</xdr:row>
      <xdr:rowOff>2027238</xdr:rowOff>
    </xdr:from>
    <xdr:to>
      <xdr:col>2</xdr:col>
      <xdr:colOff>7292751</xdr:colOff>
      <xdr:row>2</xdr:row>
      <xdr:rowOff>2567238</xdr:rowOff>
    </xdr:to>
    <xdr:sp macro="" textlink="">
      <xdr:nvSpPr>
        <xdr:cNvPr id="16" name="Flowchart: Predefined Process 15"/>
        <xdr:cNvSpPr>
          <a:spLocks noChangeArrowheads="1"/>
        </xdr:cNvSpPr>
      </xdr:nvSpPr>
      <xdr:spPr bwMode="auto">
        <a:xfrm>
          <a:off x="5711826" y="2360613"/>
          <a:ext cx="1800000" cy="54000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defRPr/>
          </a:pPr>
          <a:r>
            <a:rPr lang="en-US" sz="18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Kitchen Controls</a:t>
          </a:r>
        </a:p>
      </xdr:txBody>
    </xdr:sp>
    <xdr:clientData/>
  </xdr:twoCellAnchor>
  <xdr:twoCellAnchor editAs="absolute">
    <xdr:from>
      <xdr:col>2</xdr:col>
      <xdr:colOff>5492751</xdr:colOff>
      <xdr:row>2</xdr:row>
      <xdr:rowOff>3965575</xdr:rowOff>
    </xdr:from>
    <xdr:to>
      <xdr:col>2</xdr:col>
      <xdr:colOff>7292751</xdr:colOff>
      <xdr:row>2</xdr:row>
      <xdr:rowOff>4505575</xdr:rowOff>
    </xdr:to>
    <xdr:sp macro="" textlink="">
      <xdr:nvSpPr>
        <xdr:cNvPr id="20" name="Flowchart: Predefined Process 19"/>
        <xdr:cNvSpPr>
          <a:spLocks noChangeArrowheads="1"/>
        </xdr:cNvSpPr>
      </xdr:nvSpPr>
      <xdr:spPr bwMode="auto">
        <a:xfrm>
          <a:off x="5711826" y="4298950"/>
          <a:ext cx="1800000" cy="54000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defRPr/>
          </a:pPr>
          <a:r>
            <a:rPr lang="en-US" sz="18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Oven &amp; Steamer</a:t>
          </a:r>
        </a:p>
      </xdr:txBody>
    </xdr:sp>
    <xdr:clientData/>
  </xdr:twoCellAnchor>
  <xdr:twoCellAnchor editAs="absolute">
    <xdr:from>
      <xdr:col>2</xdr:col>
      <xdr:colOff>5492751</xdr:colOff>
      <xdr:row>2</xdr:row>
      <xdr:rowOff>88900</xdr:rowOff>
    </xdr:from>
    <xdr:to>
      <xdr:col>2</xdr:col>
      <xdr:colOff>7292751</xdr:colOff>
      <xdr:row>2</xdr:row>
      <xdr:rowOff>628900</xdr:rowOff>
    </xdr:to>
    <xdr:sp macro="" textlink="">
      <xdr:nvSpPr>
        <xdr:cNvPr id="23" name="Flowchart: Predefined Process 22"/>
        <xdr:cNvSpPr>
          <a:spLocks noChangeArrowheads="1"/>
        </xdr:cNvSpPr>
      </xdr:nvSpPr>
      <xdr:spPr bwMode="auto">
        <a:xfrm>
          <a:off x="5711826" y="422275"/>
          <a:ext cx="1800000" cy="54000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itchFamily="18" charset="0"/>
              <a:ea typeface="+mn-ea"/>
              <a:cs typeface="+mn-cs"/>
            </a:defRPr>
          </a:lvl9pPr>
        </a:lstStyle>
        <a:p>
          <a:pPr mar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defRPr/>
          </a:pPr>
          <a:r>
            <a:rPr lang="en-US" sz="18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Recipe Portal</a:t>
          </a:r>
        </a:p>
      </xdr:txBody>
    </xdr:sp>
    <xdr:clientData/>
  </xdr:twoCellAnchor>
  <xdr:twoCellAnchor editAs="absolute">
    <xdr:from>
      <xdr:col>2</xdr:col>
      <xdr:colOff>1747000</xdr:colOff>
      <xdr:row>2</xdr:row>
      <xdr:rowOff>2297238</xdr:rowOff>
    </xdr:from>
    <xdr:to>
      <xdr:col>2</xdr:col>
      <xdr:colOff>2257426</xdr:colOff>
      <xdr:row>2</xdr:row>
      <xdr:rowOff>2297238</xdr:rowOff>
    </xdr:to>
    <xdr:cxnSp macro="">
      <xdr:nvCxnSpPr>
        <xdr:cNvPr id="47" name="Straight Arrow Connector 46"/>
        <xdr:cNvCxnSpPr>
          <a:stCxn id="25" idx="5"/>
          <a:endCxn id="21" idx="1"/>
        </xdr:cNvCxnSpPr>
      </xdr:nvCxnSpPr>
      <xdr:spPr bwMode="auto">
        <a:xfrm>
          <a:off x="1966075" y="2630613"/>
          <a:ext cx="510426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4848225</xdr:colOff>
      <xdr:row>2</xdr:row>
      <xdr:rowOff>2297238</xdr:rowOff>
    </xdr:from>
    <xdr:to>
      <xdr:col>2</xdr:col>
      <xdr:colOff>5492751</xdr:colOff>
      <xdr:row>2</xdr:row>
      <xdr:rowOff>2297238</xdr:rowOff>
    </xdr:to>
    <xdr:cxnSp macro="">
      <xdr:nvCxnSpPr>
        <xdr:cNvPr id="48" name="Straight Arrow Connector 47"/>
        <xdr:cNvCxnSpPr>
          <a:stCxn id="16" idx="1"/>
          <a:endCxn id="21" idx="3"/>
        </xdr:cNvCxnSpPr>
      </xdr:nvCxnSpPr>
      <xdr:spPr bwMode="auto">
        <a:xfrm flipH="1">
          <a:off x="5067300" y="2630613"/>
          <a:ext cx="644526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absolute">
    <xdr:from>
      <xdr:col>2</xdr:col>
      <xdr:colOff>3450432</xdr:colOff>
      <xdr:row>2</xdr:row>
      <xdr:rowOff>1266826</xdr:rowOff>
    </xdr:from>
    <xdr:to>
      <xdr:col>2</xdr:col>
      <xdr:colOff>4707731</xdr:colOff>
      <xdr:row>2</xdr:row>
      <xdr:rowOff>1685925</xdr:rowOff>
    </xdr:to>
    <xdr:sp macro="" textlink="">
      <xdr:nvSpPr>
        <xdr:cNvPr id="18" name="F001"/>
        <xdr:cNvSpPr/>
      </xdr:nvSpPr>
      <xdr:spPr bwMode="auto">
        <a:xfrm>
          <a:off x="3669507" y="1600201"/>
          <a:ext cx="1257299" cy="41909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en-US" sz="14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Collect Recipes</a:t>
          </a:r>
        </a:p>
      </xdr:txBody>
    </xdr:sp>
    <xdr:clientData/>
  </xdr:twoCellAnchor>
  <xdr:twoCellAnchor editAs="absolute">
    <xdr:from>
      <xdr:col>2</xdr:col>
      <xdr:colOff>3450432</xdr:colOff>
      <xdr:row>2</xdr:row>
      <xdr:rowOff>1828801</xdr:rowOff>
    </xdr:from>
    <xdr:to>
      <xdr:col>2</xdr:col>
      <xdr:colOff>4707731</xdr:colOff>
      <xdr:row>2</xdr:row>
      <xdr:rowOff>2247900</xdr:rowOff>
    </xdr:to>
    <xdr:sp macro="" textlink="">
      <xdr:nvSpPr>
        <xdr:cNvPr id="26" name="F002"/>
        <xdr:cNvSpPr/>
      </xdr:nvSpPr>
      <xdr:spPr bwMode="auto">
        <a:xfrm>
          <a:off x="3669507" y="2162176"/>
          <a:ext cx="1257299" cy="41909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en-US" sz="14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Identify Food</a:t>
          </a:r>
        </a:p>
      </xdr:txBody>
    </xdr:sp>
    <xdr:clientData/>
  </xdr:twoCellAnchor>
  <xdr:twoCellAnchor editAs="absolute">
    <xdr:from>
      <xdr:col>2</xdr:col>
      <xdr:colOff>3450432</xdr:colOff>
      <xdr:row>2</xdr:row>
      <xdr:rowOff>2390776</xdr:rowOff>
    </xdr:from>
    <xdr:to>
      <xdr:col>2</xdr:col>
      <xdr:colOff>4707731</xdr:colOff>
      <xdr:row>2</xdr:row>
      <xdr:rowOff>2809875</xdr:rowOff>
    </xdr:to>
    <xdr:sp macro="" textlink="">
      <xdr:nvSpPr>
        <xdr:cNvPr id="29" name="F003"/>
        <xdr:cNvSpPr/>
      </xdr:nvSpPr>
      <xdr:spPr bwMode="auto">
        <a:xfrm>
          <a:off x="3669507" y="2724151"/>
          <a:ext cx="1257299" cy="41909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en-US" sz="14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Kitchen Inventory</a:t>
          </a:r>
        </a:p>
      </xdr:txBody>
    </xdr:sp>
    <xdr:clientData/>
  </xdr:twoCellAnchor>
  <xdr:twoCellAnchor editAs="absolute">
    <xdr:from>
      <xdr:col>2</xdr:col>
      <xdr:colOff>3450432</xdr:colOff>
      <xdr:row>2</xdr:row>
      <xdr:rowOff>2952751</xdr:rowOff>
    </xdr:from>
    <xdr:to>
      <xdr:col>2</xdr:col>
      <xdr:colOff>4707731</xdr:colOff>
      <xdr:row>2</xdr:row>
      <xdr:rowOff>3371850</xdr:rowOff>
    </xdr:to>
    <xdr:sp macro="" textlink="">
      <xdr:nvSpPr>
        <xdr:cNvPr id="30" name="F004"/>
        <xdr:cNvSpPr/>
      </xdr:nvSpPr>
      <xdr:spPr bwMode="auto">
        <a:xfrm>
          <a:off x="3669507" y="3286126"/>
          <a:ext cx="1257299" cy="41909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en-US" sz="14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Execute Recipe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14</xdr:row>
      <xdr:rowOff>62400</xdr:rowOff>
    </xdr:from>
    <xdr:to>
      <xdr:col>3</xdr:col>
      <xdr:colOff>92325</xdr:colOff>
      <xdr:row>14</xdr:row>
      <xdr:rowOff>242400</xdr:rowOff>
    </xdr:to>
    <xdr:sp macro="[0]!AddFurRow_Click" textlink="">
      <xdr:nvSpPr>
        <xdr:cNvPr id="2" name="Bevel 1"/>
        <xdr:cNvSpPr/>
      </xdr:nvSpPr>
      <xdr:spPr bwMode="auto">
        <a:xfrm>
          <a:off x="209550" y="4358175"/>
          <a:ext cx="540000" cy="180000"/>
        </a:xfrm>
        <a:prstGeom prst="bevel">
          <a:avLst/>
        </a:prstGeom>
        <a:solidFill>
          <a:srgbClr val="F8F7F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247650</xdr:colOff>
      <xdr:row>14</xdr:row>
      <xdr:rowOff>62400</xdr:rowOff>
    </xdr:from>
    <xdr:to>
      <xdr:col>3</xdr:col>
      <xdr:colOff>787650</xdr:colOff>
      <xdr:row>14</xdr:row>
      <xdr:rowOff>242400</xdr:rowOff>
    </xdr:to>
    <xdr:sp macro="[0]!DelRow_Click" textlink="">
      <xdr:nvSpPr>
        <xdr:cNvPr id="3" name="Bevel 2"/>
        <xdr:cNvSpPr/>
      </xdr:nvSpPr>
      <xdr:spPr bwMode="auto">
        <a:xfrm>
          <a:off x="904875" y="4358175"/>
          <a:ext cx="540000" cy="180000"/>
        </a:xfrm>
        <a:prstGeom prst="bevel">
          <a:avLst/>
        </a:prstGeom>
        <a:solidFill>
          <a:srgbClr val="F8F7F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20</xdr:row>
      <xdr:rowOff>62400</xdr:rowOff>
    </xdr:from>
    <xdr:to>
      <xdr:col>3</xdr:col>
      <xdr:colOff>82800</xdr:colOff>
      <xdr:row>20</xdr:row>
      <xdr:rowOff>242400</xdr:rowOff>
    </xdr:to>
    <xdr:sp macro="[0]!AddObjRow_Click" textlink="">
      <xdr:nvSpPr>
        <xdr:cNvPr id="2" name="Bevel 1"/>
        <xdr:cNvSpPr/>
      </xdr:nvSpPr>
      <xdr:spPr bwMode="auto">
        <a:xfrm>
          <a:off x="266700" y="2919900"/>
          <a:ext cx="540000" cy="18000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238125</xdr:colOff>
      <xdr:row>20</xdr:row>
      <xdr:rowOff>62400</xdr:rowOff>
    </xdr:from>
    <xdr:to>
      <xdr:col>3</xdr:col>
      <xdr:colOff>778125</xdr:colOff>
      <xdr:row>20</xdr:row>
      <xdr:rowOff>242400</xdr:rowOff>
    </xdr:to>
    <xdr:sp macro="[0]!DelObjRow_Click" textlink="">
      <xdr:nvSpPr>
        <xdr:cNvPr id="3" name="Bevel 2"/>
        <xdr:cNvSpPr/>
      </xdr:nvSpPr>
      <xdr:spPr bwMode="auto">
        <a:xfrm>
          <a:off x="962025" y="2919900"/>
          <a:ext cx="540000" cy="18000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  <xdr:twoCellAnchor editAs="oneCell">
    <xdr:from>
      <xdr:col>3</xdr:col>
      <xdr:colOff>933450</xdr:colOff>
      <xdr:row>20</xdr:row>
      <xdr:rowOff>62400</xdr:rowOff>
    </xdr:from>
    <xdr:to>
      <xdr:col>4</xdr:col>
      <xdr:colOff>25650</xdr:colOff>
      <xdr:row>20</xdr:row>
      <xdr:rowOff>242400</xdr:rowOff>
    </xdr:to>
    <xdr:sp macro="[0]!ValidateObjects" textlink="">
      <xdr:nvSpPr>
        <xdr:cNvPr id="4" name="Bevel 3"/>
        <xdr:cNvSpPr/>
      </xdr:nvSpPr>
      <xdr:spPr bwMode="auto">
        <a:xfrm>
          <a:off x="1657350" y="2919900"/>
          <a:ext cx="540000" cy="18000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Arial Narrow" pitchFamily="34" charset="0"/>
            </a:rPr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14</xdr:row>
      <xdr:rowOff>62400</xdr:rowOff>
    </xdr:from>
    <xdr:to>
      <xdr:col>3</xdr:col>
      <xdr:colOff>82800</xdr:colOff>
      <xdr:row>14</xdr:row>
      <xdr:rowOff>242400</xdr:rowOff>
    </xdr:to>
    <xdr:sp macro="[0]!AddTrgRow_Click" textlink="">
      <xdr:nvSpPr>
        <xdr:cNvPr id="2" name="Bevel 1"/>
        <xdr:cNvSpPr/>
      </xdr:nvSpPr>
      <xdr:spPr bwMode="auto">
        <a:xfrm>
          <a:off x="209550" y="1948350"/>
          <a:ext cx="540000" cy="180000"/>
        </a:xfrm>
        <a:prstGeom prst="bevel">
          <a:avLst/>
        </a:prstGeom>
        <a:solidFill>
          <a:schemeClr val="accent3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238125</xdr:colOff>
      <xdr:row>14</xdr:row>
      <xdr:rowOff>62400</xdr:rowOff>
    </xdr:from>
    <xdr:to>
      <xdr:col>4</xdr:col>
      <xdr:colOff>44700</xdr:colOff>
      <xdr:row>14</xdr:row>
      <xdr:rowOff>242400</xdr:rowOff>
    </xdr:to>
    <xdr:sp macro="[0]!DelTrgRow_Click" textlink="">
      <xdr:nvSpPr>
        <xdr:cNvPr id="3" name="Bevel 2"/>
        <xdr:cNvSpPr/>
      </xdr:nvSpPr>
      <xdr:spPr bwMode="auto">
        <a:xfrm>
          <a:off x="904875" y="1948350"/>
          <a:ext cx="540000" cy="180000"/>
        </a:xfrm>
        <a:prstGeom prst="bevel">
          <a:avLst/>
        </a:prstGeom>
        <a:solidFill>
          <a:schemeClr val="accent3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  <xdr:twoCellAnchor editAs="oneCell">
    <xdr:from>
      <xdr:col>4</xdr:col>
      <xdr:colOff>200025</xdr:colOff>
      <xdr:row>14</xdr:row>
      <xdr:rowOff>62400</xdr:rowOff>
    </xdr:from>
    <xdr:to>
      <xdr:col>4</xdr:col>
      <xdr:colOff>740025</xdr:colOff>
      <xdr:row>14</xdr:row>
      <xdr:rowOff>242400</xdr:rowOff>
    </xdr:to>
    <xdr:sp macro="[0]!ValidateTriggers" textlink="">
      <xdr:nvSpPr>
        <xdr:cNvPr id="4" name="Bevel 3"/>
        <xdr:cNvSpPr/>
      </xdr:nvSpPr>
      <xdr:spPr bwMode="auto">
        <a:xfrm>
          <a:off x="1600200" y="1948350"/>
          <a:ext cx="540000" cy="180000"/>
        </a:xfrm>
        <a:prstGeom prst="bevel">
          <a:avLst/>
        </a:prstGeom>
        <a:solidFill>
          <a:schemeClr val="accent3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Arial Narrow" pitchFamily="34" charset="0"/>
            </a:rPr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66</xdr:row>
      <xdr:rowOff>62400</xdr:rowOff>
    </xdr:from>
    <xdr:to>
      <xdr:col>3</xdr:col>
      <xdr:colOff>82800</xdr:colOff>
      <xdr:row>66</xdr:row>
      <xdr:rowOff>242400</xdr:rowOff>
    </xdr:to>
    <xdr:sp macro="[0]!AddMovRow_Click" textlink="">
      <xdr:nvSpPr>
        <xdr:cNvPr id="2" name="Bevel 1"/>
        <xdr:cNvSpPr/>
      </xdr:nvSpPr>
      <xdr:spPr bwMode="auto">
        <a:xfrm>
          <a:off x="266700" y="10635150"/>
          <a:ext cx="540000" cy="180000"/>
        </a:xfrm>
        <a:prstGeom prst="bevel">
          <a:avLst/>
        </a:prstGeom>
        <a:solidFill>
          <a:schemeClr val="accent2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238125</xdr:colOff>
      <xdr:row>66</xdr:row>
      <xdr:rowOff>62400</xdr:rowOff>
    </xdr:from>
    <xdr:to>
      <xdr:col>3</xdr:col>
      <xdr:colOff>778125</xdr:colOff>
      <xdr:row>66</xdr:row>
      <xdr:rowOff>242400</xdr:rowOff>
    </xdr:to>
    <xdr:sp macro="[0]!DelMovRow_Click" textlink="">
      <xdr:nvSpPr>
        <xdr:cNvPr id="3" name="Bevel 2"/>
        <xdr:cNvSpPr/>
      </xdr:nvSpPr>
      <xdr:spPr bwMode="auto">
        <a:xfrm>
          <a:off x="962025" y="10635150"/>
          <a:ext cx="540000" cy="180000"/>
        </a:xfrm>
        <a:prstGeom prst="bevel">
          <a:avLst/>
        </a:prstGeom>
        <a:solidFill>
          <a:schemeClr val="accent2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  <xdr:twoCellAnchor editAs="oneCell">
    <xdr:from>
      <xdr:col>3</xdr:col>
      <xdr:colOff>933450</xdr:colOff>
      <xdr:row>66</xdr:row>
      <xdr:rowOff>62400</xdr:rowOff>
    </xdr:from>
    <xdr:to>
      <xdr:col>4</xdr:col>
      <xdr:colOff>159000</xdr:colOff>
      <xdr:row>66</xdr:row>
      <xdr:rowOff>242400</xdr:rowOff>
    </xdr:to>
    <xdr:sp macro="[0]!ValidateDataMoves" textlink="">
      <xdr:nvSpPr>
        <xdr:cNvPr id="4" name="Bevel 3"/>
        <xdr:cNvSpPr/>
      </xdr:nvSpPr>
      <xdr:spPr bwMode="auto">
        <a:xfrm>
          <a:off x="1657350" y="10635150"/>
          <a:ext cx="540000" cy="180000"/>
        </a:xfrm>
        <a:prstGeom prst="bevel">
          <a:avLst/>
        </a:prstGeom>
        <a:solidFill>
          <a:schemeClr val="accent2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Arial Narrow" pitchFamily="34" charset="0"/>
            </a:rPr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57151</xdr:colOff>
      <xdr:row>2</xdr:row>
      <xdr:rowOff>142875</xdr:rowOff>
    </xdr:from>
    <xdr:to>
      <xdr:col>6</xdr:col>
      <xdr:colOff>561975</xdr:colOff>
      <xdr:row>3</xdr:row>
      <xdr:rowOff>142875</xdr:rowOff>
    </xdr:to>
    <xdr:sp macro="[0]!DeleteUnusedBevel_Click" textlink="">
      <xdr:nvSpPr>
        <xdr:cNvPr id="2" name="DeleteUnusedBevel"/>
        <xdr:cNvSpPr/>
      </xdr:nvSpPr>
      <xdr:spPr bwMode="auto">
        <a:xfrm>
          <a:off x="8905876" y="247650"/>
          <a:ext cx="1724024" cy="257175"/>
        </a:xfrm>
        <a:prstGeom prst="bevel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>
              <a:solidFill>
                <a:schemeClr val="bg1">
                  <a:lumMod val="95000"/>
                </a:schemeClr>
              </a:solidFill>
              <a:latin typeface="Arial Narrow" pitchFamily="34" charset="0"/>
            </a:rPr>
            <a:t>Delete all Unused Data Groups</a:t>
          </a:r>
        </a:p>
      </xdr:txBody>
    </xdr:sp>
    <xdr:clientData/>
  </xdr:twoCellAnchor>
  <xdr:twoCellAnchor editAs="oneCell">
    <xdr:from>
      <xdr:col>2</xdr:col>
      <xdr:colOff>0</xdr:colOff>
      <xdr:row>21</xdr:row>
      <xdr:rowOff>62400</xdr:rowOff>
    </xdr:from>
    <xdr:to>
      <xdr:col>3</xdr:col>
      <xdr:colOff>82800</xdr:colOff>
      <xdr:row>21</xdr:row>
      <xdr:rowOff>242400</xdr:rowOff>
    </xdr:to>
    <xdr:sp macro="[0]!AddGrpRow_Click" textlink="">
      <xdr:nvSpPr>
        <xdr:cNvPr id="4" name="Bevel 3"/>
        <xdr:cNvSpPr/>
      </xdr:nvSpPr>
      <xdr:spPr bwMode="auto">
        <a:xfrm>
          <a:off x="266700" y="3262800"/>
          <a:ext cx="540000" cy="180000"/>
        </a:xfrm>
        <a:prstGeom prst="bevel">
          <a:avLst/>
        </a:prstGeom>
        <a:solidFill>
          <a:schemeClr val="accent4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latin typeface="Arial Narrow" pitchFamily="34" charset="0"/>
            </a:rPr>
            <a:t>Add Row</a:t>
          </a:r>
        </a:p>
      </xdr:txBody>
    </xdr:sp>
    <xdr:clientData/>
  </xdr:twoCellAnchor>
  <xdr:twoCellAnchor editAs="oneCell">
    <xdr:from>
      <xdr:col>3</xdr:col>
      <xdr:colOff>238125</xdr:colOff>
      <xdr:row>21</xdr:row>
      <xdr:rowOff>62400</xdr:rowOff>
    </xdr:from>
    <xdr:to>
      <xdr:col>3</xdr:col>
      <xdr:colOff>778125</xdr:colOff>
      <xdr:row>21</xdr:row>
      <xdr:rowOff>242400</xdr:rowOff>
    </xdr:to>
    <xdr:sp macro="[0]!DelGrpRow_Click" textlink="">
      <xdr:nvSpPr>
        <xdr:cNvPr id="8" name="Bevel 7"/>
        <xdr:cNvSpPr/>
      </xdr:nvSpPr>
      <xdr:spPr bwMode="auto">
        <a:xfrm>
          <a:off x="962025" y="3262800"/>
          <a:ext cx="540000" cy="180000"/>
        </a:xfrm>
        <a:prstGeom prst="bevel">
          <a:avLst/>
        </a:prstGeom>
        <a:solidFill>
          <a:schemeClr val="accent4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2"/>
              </a:solidFill>
              <a:latin typeface="Arial Narrow" pitchFamily="34" charset="0"/>
            </a:rPr>
            <a:t>Del Row</a:t>
          </a:r>
        </a:p>
      </xdr:txBody>
    </xdr:sp>
    <xdr:clientData/>
  </xdr:twoCellAnchor>
  <xdr:twoCellAnchor editAs="oneCell">
    <xdr:from>
      <xdr:col>3</xdr:col>
      <xdr:colOff>933450</xdr:colOff>
      <xdr:row>21</xdr:row>
      <xdr:rowOff>62400</xdr:rowOff>
    </xdr:from>
    <xdr:to>
      <xdr:col>4</xdr:col>
      <xdr:colOff>73275</xdr:colOff>
      <xdr:row>21</xdr:row>
      <xdr:rowOff>242400</xdr:rowOff>
    </xdr:to>
    <xdr:sp macro="[0]!ValidateDataGroups" textlink="">
      <xdr:nvSpPr>
        <xdr:cNvPr id="5" name="Bevel 4"/>
        <xdr:cNvSpPr/>
      </xdr:nvSpPr>
      <xdr:spPr bwMode="auto">
        <a:xfrm>
          <a:off x="1657350" y="3262800"/>
          <a:ext cx="540000" cy="180000"/>
        </a:xfrm>
        <a:prstGeom prst="bevel">
          <a:avLst/>
        </a:prstGeom>
        <a:solidFill>
          <a:schemeClr val="accent4">
            <a:lumMod val="20000"/>
            <a:lumOff val="8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Arial Narrow" pitchFamily="34" charset="0"/>
            </a:rPr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14</xdr:col>
      <xdr:colOff>0</xdr:colOff>
      <xdr:row>64</xdr:row>
      <xdr:rowOff>0</xdr:rowOff>
    </xdr:to>
    <xdr:cxnSp macro="CnQ014_Click">
      <xdr:nvCxnSpPr>
        <xdr:cNvPr id="3630" name="P004Q"/>
        <xdr:cNvCxnSpPr/>
      </xdr:nvCxnSpPr>
      <xdr:spPr bwMode="auto">
        <a:xfrm>
          <a:off x="178689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0</xdr:colOff>
      <xdr:row>64</xdr:row>
      <xdr:rowOff>0</xdr:rowOff>
    </xdr:to>
    <xdr:cxnSp macro="CnQ013_Click">
      <xdr:nvCxnSpPr>
        <xdr:cNvPr id="3628" name="A005Q"/>
        <xdr:cNvCxnSpPr/>
      </xdr:nvCxnSpPr>
      <xdr:spPr bwMode="auto">
        <a:xfrm>
          <a:off x="165925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12</xdr:col>
      <xdr:colOff>0</xdr:colOff>
      <xdr:row>3</xdr:row>
      <xdr:rowOff>0</xdr:rowOff>
    </xdr:from>
    <xdr:to>
      <xdr:col>12</xdr:col>
      <xdr:colOff>0</xdr:colOff>
      <xdr:row>64</xdr:row>
      <xdr:rowOff>0</xdr:rowOff>
    </xdr:to>
    <xdr:cxnSp macro="CnQ012_Click">
      <xdr:nvCxnSpPr>
        <xdr:cNvPr id="3626" name="A004Q"/>
        <xdr:cNvCxnSpPr/>
      </xdr:nvCxnSpPr>
      <xdr:spPr bwMode="auto">
        <a:xfrm>
          <a:off x="153162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11</xdr:col>
      <xdr:colOff>0</xdr:colOff>
      <xdr:row>3</xdr:row>
      <xdr:rowOff>0</xdr:rowOff>
    </xdr:from>
    <xdr:to>
      <xdr:col>11</xdr:col>
      <xdr:colOff>0</xdr:colOff>
      <xdr:row>64</xdr:row>
      <xdr:rowOff>0</xdr:rowOff>
    </xdr:to>
    <xdr:cxnSp macro="CnQ011_Click">
      <xdr:nvCxnSpPr>
        <xdr:cNvPr id="3624" name="A003Q"/>
        <xdr:cNvCxnSpPr/>
      </xdr:nvCxnSpPr>
      <xdr:spPr bwMode="auto">
        <a:xfrm>
          <a:off x="140398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10</xdr:col>
      <xdr:colOff>0</xdr:colOff>
      <xdr:row>3</xdr:row>
      <xdr:rowOff>0</xdr:rowOff>
    </xdr:from>
    <xdr:to>
      <xdr:col>10</xdr:col>
      <xdr:colOff>0</xdr:colOff>
      <xdr:row>64</xdr:row>
      <xdr:rowOff>0</xdr:rowOff>
    </xdr:to>
    <xdr:cxnSp macro="CnQ010_Click">
      <xdr:nvCxnSpPr>
        <xdr:cNvPr id="3622" name="F004Q"/>
        <xdr:cNvCxnSpPr/>
      </xdr:nvCxnSpPr>
      <xdr:spPr bwMode="auto">
        <a:xfrm>
          <a:off x="127635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64</xdr:row>
      <xdr:rowOff>0</xdr:rowOff>
    </xdr:to>
    <xdr:cxnSp macro="CnQ009_Click">
      <xdr:nvCxnSpPr>
        <xdr:cNvPr id="3620" name="P003Q"/>
        <xdr:cNvCxnSpPr/>
      </xdr:nvCxnSpPr>
      <xdr:spPr bwMode="auto">
        <a:xfrm>
          <a:off x="114871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64</xdr:row>
      <xdr:rowOff>0</xdr:rowOff>
    </xdr:to>
    <xdr:cxnSp macro="CnQ008_Click">
      <xdr:nvCxnSpPr>
        <xdr:cNvPr id="3618" name="F003Q"/>
        <xdr:cNvCxnSpPr/>
      </xdr:nvCxnSpPr>
      <xdr:spPr bwMode="auto">
        <a:xfrm>
          <a:off x="102108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64</xdr:row>
      <xdr:rowOff>0</xdr:rowOff>
    </xdr:to>
    <xdr:cxnSp macro="CnQ007_Click">
      <xdr:nvCxnSpPr>
        <xdr:cNvPr id="3616" name="A002Q"/>
        <xdr:cNvCxnSpPr/>
      </xdr:nvCxnSpPr>
      <xdr:spPr bwMode="auto">
        <a:xfrm>
          <a:off x="89344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0</xdr:colOff>
      <xdr:row>64</xdr:row>
      <xdr:rowOff>0</xdr:rowOff>
    </xdr:to>
    <xdr:cxnSp macro="CnQ006_Click">
      <xdr:nvCxnSpPr>
        <xdr:cNvPr id="3614" name="P002Q"/>
        <xdr:cNvCxnSpPr/>
      </xdr:nvCxnSpPr>
      <xdr:spPr bwMode="auto">
        <a:xfrm>
          <a:off x="76581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64</xdr:row>
      <xdr:rowOff>0</xdr:rowOff>
    </xdr:to>
    <xdr:cxnSp macro="CnQ005_Click">
      <xdr:nvCxnSpPr>
        <xdr:cNvPr id="3612" name="F002Q"/>
        <xdr:cNvCxnSpPr/>
      </xdr:nvCxnSpPr>
      <xdr:spPr bwMode="auto">
        <a:xfrm>
          <a:off x="63817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64</xdr:row>
      <xdr:rowOff>0</xdr:rowOff>
    </xdr:to>
    <xdr:cxnSp macro="CnQ004_Click">
      <xdr:nvCxnSpPr>
        <xdr:cNvPr id="3610" name="A001Q"/>
        <xdr:cNvCxnSpPr/>
      </xdr:nvCxnSpPr>
      <xdr:spPr bwMode="auto">
        <a:xfrm>
          <a:off x="51054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64</xdr:row>
      <xdr:rowOff>0</xdr:rowOff>
    </xdr:to>
    <xdr:cxnSp macro="CnQ003_Click">
      <xdr:nvCxnSpPr>
        <xdr:cNvPr id="3608" name="P001Q"/>
        <xdr:cNvCxnSpPr/>
      </xdr:nvCxnSpPr>
      <xdr:spPr bwMode="auto">
        <a:xfrm>
          <a:off x="38290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2</xdr:col>
      <xdr:colOff>0</xdr:colOff>
      <xdr:row>3</xdr:row>
      <xdr:rowOff>0</xdr:rowOff>
    </xdr:from>
    <xdr:to>
      <xdr:col>2</xdr:col>
      <xdr:colOff>0</xdr:colOff>
      <xdr:row>64</xdr:row>
      <xdr:rowOff>0</xdr:rowOff>
    </xdr:to>
    <xdr:cxnSp macro="CnQ002_Click">
      <xdr:nvCxnSpPr>
        <xdr:cNvPr id="3606" name="F001Q"/>
        <xdr:cNvCxnSpPr/>
      </xdr:nvCxnSpPr>
      <xdr:spPr bwMode="auto">
        <a:xfrm>
          <a:off x="255270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0</xdr:colOff>
      <xdr:row>64</xdr:row>
      <xdr:rowOff>0</xdr:rowOff>
    </xdr:to>
    <xdr:cxnSp macro="CnQ001_Click">
      <xdr:nvCxnSpPr>
        <xdr:cNvPr id="3604" name="D001Q"/>
        <xdr:cNvCxnSpPr/>
      </xdr:nvCxnSpPr>
      <xdr:spPr bwMode="auto">
        <a:xfrm>
          <a:off x="1276350" y="971550"/>
          <a:ext cx="0" cy="197548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 editAs="absolute">
    <xdr:from>
      <xdr:col>0</xdr:col>
      <xdr:colOff>790575</xdr:colOff>
      <xdr:row>0</xdr:row>
      <xdr:rowOff>90614</xdr:rowOff>
    </xdr:from>
    <xdr:to>
      <xdr:col>4</xdr:col>
      <xdr:colOff>373839</xdr:colOff>
      <xdr:row>1</xdr:row>
      <xdr:rowOff>11623</xdr:rowOff>
    </xdr:to>
    <xdr:sp macro="" textlink="">
      <xdr:nvSpPr>
        <xdr:cNvPr id="9" name="CountingShape"/>
        <xdr:cNvSpPr/>
      </xdr:nvSpPr>
      <xdr:spPr bwMode="auto">
        <a:xfrm>
          <a:off x="790575" y="90614"/>
          <a:ext cx="4679139" cy="242478"/>
        </a:xfrm>
        <a:prstGeom prst="roundRect">
          <a:avLst/>
        </a:prstGeom>
        <a:solidFill>
          <a:schemeClr val="accent5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vertOverflow="clip" horzOverflow="clip" wrap="none" lIns="108000" tIns="0" rIns="108000" bIns="0" rtlCol="0" anchor="ctr" upright="1">
          <a:spAutoFit/>
        </a:bodyPr>
        <a:lstStyle/>
        <a:p>
          <a:pPr algn="l"/>
          <a:r>
            <a:rPr lang="en-US" sz="1400" b="0" i="0" u="none" strike="noStrike"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21 Entry (E) + 17 eXit (X) + 13 Read (R) + 9 Write (W) = 60 CFP</a:t>
          </a:r>
          <a:endParaRPr lang="en-US" sz="1400">
            <a:solidFill>
              <a:schemeClr val="accent6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790575</xdr:colOff>
      <xdr:row>1</xdr:row>
      <xdr:rowOff>292100</xdr:rowOff>
    </xdr:from>
    <xdr:to>
      <xdr:col>1</xdr:col>
      <xdr:colOff>485775</xdr:colOff>
      <xdr:row>2</xdr:row>
      <xdr:rowOff>292100</xdr:rowOff>
    </xdr:to>
    <xdr:sp macro="Obj001_Click" textlink="">
      <xdr:nvSpPr>
        <xdr:cNvPr id="3603" name="D001"/>
        <xdr:cNvSpPr/>
      </xdr:nvSpPr>
      <xdr:spPr bwMode="auto">
        <a:xfrm>
          <a:off x="790575" y="615950"/>
          <a:ext cx="971550" cy="323850"/>
        </a:xfrm>
        <a:custGeom>
          <a:avLst/>
          <a:gdLst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954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954 w 10000"/>
            <a:gd name="connsiteY1" fmla="*/ 0 h 10000"/>
            <a:gd name="connsiteX2" fmla="*/ 10000 w 10000"/>
            <a:gd name="connsiteY2" fmla="*/ 0 h 10000"/>
            <a:gd name="connsiteX3" fmla="*/ 9046 w 10000"/>
            <a:gd name="connsiteY3" fmla="*/ 10000 h 10000"/>
            <a:gd name="connsiteX4" fmla="*/ 0 w 10000"/>
            <a:gd name="connsiteY4" fmla="*/ 1000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0" h="10000">
              <a:moveTo>
                <a:pt x="0" y="10000"/>
              </a:moveTo>
              <a:lnTo>
                <a:pt x="954" y="0"/>
              </a:lnTo>
              <a:lnTo>
                <a:pt x="10000" y="0"/>
              </a:lnTo>
              <a:lnTo>
                <a:pt x="9046" y="10000"/>
              </a:lnTo>
              <a:lnTo>
                <a:pt x="0" y="10000"/>
              </a:lnTo>
              <a:close/>
            </a:path>
          </a:pathLst>
        </a:custGeom>
        <a:gradFill rotWithShape="0">
          <a:gsLst>
            <a:gs pos="0">
              <a:srgbClr val="FCE599"/>
            </a:gs>
            <a:gs pos="50000">
              <a:srgbClr val="FFC000"/>
            </a:gs>
            <a:gs pos="100000">
              <a:srgbClr val="FCE599"/>
            </a:gs>
          </a:gsLst>
          <a:lin ang="5400000" scaled="1"/>
        </a:gradFill>
        <a:ln w="9525" algn="ctr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kern="1200">
              <a:solidFill>
                <a:schemeClr val="tx1"/>
              </a:solidFill>
              <a:latin typeface="Arial Narrow" pitchFamily="34" charset="0"/>
              <a:ea typeface="+mn-ea"/>
              <a:cs typeface="Arial" charset="0"/>
            </a:rPr>
            <a:t>Kitchen User</a:t>
          </a:r>
        </a:p>
      </xdr:txBody>
    </xdr:sp>
    <xdr:clientData/>
  </xdr:twoCellAnchor>
  <xdr:twoCellAnchor editAs="oneCell">
    <xdr:from>
      <xdr:col>1</xdr:col>
      <xdr:colOff>790575</xdr:colOff>
      <xdr:row>1</xdr:row>
      <xdr:rowOff>292100</xdr:rowOff>
    </xdr:from>
    <xdr:to>
      <xdr:col>2</xdr:col>
      <xdr:colOff>485775</xdr:colOff>
      <xdr:row>2</xdr:row>
      <xdr:rowOff>292100</xdr:rowOff>
    </xdr:to>
    <xdr:sp macro="Obj002_Click" textlink="">
      <xdr:nvSpPr>
        <xdr:cNvPr id="3605" name="F001"/>
        <xdr:cNvSpPr/>
      </xdr:nvSpPr>
      <xdr:spPr bwMode="auto">
        <a:xfrm>
          <a:off x="2066925" y="615950"/>
          <a:ext cx="971550" cy="323850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Collect Recipes</a:t>
          </a:r>
        </a:p>
      </xdr:txBody>
    </xdr:sp>
    <xdr:clientData/>
  </xdr:twoCellAnchor>
  <xdr:twoCellAnchor editAs="oneCell">
    <xdr:from>
      <xdr:col>2</xdr:col>
      <xdr:colOff>790575</xdr:colOff>
      <xdr:row>1</xdr:row>
      <xdr:rowOff>292100</xdr:rowOff>
    </xdr:from>
    <xdr:to>
      <xdr:col>3</xdr:col>
      <xdr:colOff>485775</xdr:colOff>
      <xdr:row>2</xdr:row>
      <xdr:rowOff>292100</xdr:rowOff>
    </xdr:to>
    <xdr:sp macro="Obj003_Click" textlink="">
      <xdr:nvSpPr>
        <xdr:cNvPr id="3607" name="P001"/>
        <xdr:cNvSpPr/>
      </xdr:nvSpPr>
      <xdr:spPr bwMode="auto">
        <a:xfrm>
          <a:off x="3343275" y="615950"/>
          <a:ext cx="971550" cy="323850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Recipe Database</a:t>
          </a:r>
        </a:p>
      </xdr:txBody>
    </xdr:sp>
    <xdr:clientData/>
  </xdr:twoCellAnchor>
  <xdr:twoCellAnchor editAs="oneCell">
    <xdr:from>
      <xdr:col>3</xdr:col>
      <xdr:colOff>790575</xdr:colOff>
      <xdr:row>1</xdr:row>
      <xdr:rowOff>292100</xdr:rowOff>
    </xdr:from>
    <xdr:to>
      <xdr:col>4</xdr:col>
      <xdr:colOff>485775</xdr:colOff>
      <xdr:row>2</xdr:row>
      <xdr:rowOff>292100</xdr:rowOff>
    </xdr:to>
    <xdr:sp macro="Obj004_Click" textlink="">
      <xdr:nvSpPr>
        <xdr:cNvPr id="3609" name="A001"/>
        <xdr:cNvSpPr/>
      </xdr:nvSpPr>
      <xdr:spPr bwMode="auto">
        <a:xfrm>
          <a:off x="4619625" y="615950"/>
          <a:ext cx="971550" cy="32385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Recipe Portal</a:t>
          </a:r>
        </a:p>
      </xdr:txBody>
    </xdr:sp>
    <xdr:clientData/>
  </xdr:twoCellAnchor>
  <xdr:twoCellAnchor editAs="oneCell">
    <xdr:from>
      <xdr:col>4</xdr:col>
      <xdr:colOff>790575</xdr:colOff>
      <xdr:row>1</xdr:row>
      <xdr:rowOff>292100</xdr:rowOff>
    </xdr:from>
    <xdr:to>
      <xdr:col>5</xdr:col>
      <xdr:colOff>485775</xdr:colOff>
      <xdr:row>2</xdr:row>
      <xdr:rowOff>292100</xdr:rowOff>
    </xdr:to>
    <xdr:sp macro="Obj005_Click" textlink="">
      <xdr:nvSpPr>
        <xdr:cNvPr id="3611" name="F002"/>
        <xdr:cNvSpPr/>
      </xdr:nvSpPr>
      <xdr:spPr bwMode="auto">
        <a:xfrm>
          <a:off x="5895975" y="615950"/>
          <a:ext cx="971550" cy="323850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Identify Food</a:t>
          </a:r>
        </a:p>
      </xdr:txBody>
    </xdr:sp>
    <xdr:clientData/>
  </xdr:twoCellAnchor>
  <xdr:twoCellAnchor editAs="oneCell">
    <xdr:from>
      <xdr:col>5</xdr:col>
      <xdr:colOff>790575</xdr:colOff>
      <xdr:row>1</xdr:row>
      <xdr:rowOff>292100</xdr:rowOff>
    </xdr:from>
    <xdr:to>
      <xdr:col>6</xdr:col>
      <xdr:colOff>485775</xdr:colOff>
      <xdr:row>2</xdr:row>
      <xdr:rowOff>292100</xdr:rowOff>
    </xdr:to>
    <xdr:sp macro="Obj006_Click" textlink="">
      <xdr:nvSpPr>
        <xdr:cNvPr id="3613" name="P002"/>
        <xdr:cNvSpPr/>
      </xdr:nvSpPr>
      <xdr:spPr bwMode="auto">
        <a:xfrm>
          <a:off x="7172325" y="615950"/>
          <a:ext cx="971550" cy="323850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Food Database</a:t>
          </a:r>
        </a:p>
      </xdr:txBody>
    </xdr:sp>
    <xdr:clientData/>
  </xdr:twoCellAnchor>
  <xdr:twoCellAnchor editAs="oneCell">
    <xdr:from>
      <xdr:col>6</xdr:col>
      <xdr:colOff>790575</xdr:colOff>
      <xdr:row>1</xdr:row>
      <xdr:rowOff>292100</xdr:rowOff>
    </xdr:from>
    <xdr:to>
      <xdr:col>7</xdr:col>
      <xdr:colOff>485775</xdr:colOff>
      <xdr:row>2</xdr:row>
      <xdr:rowOff>292100</xdr:rowOff>
    </xdr:to>
    <xdr:sp macro="Obj007_Click" textlink="">
      <xdr:nvSpPr>
        <xdr:cNvPr id="3615" name="A002"/>
        <xdr:cNvSpPr/>
      </xdr:nvSpPr>
      <xdr:spPr bwMode="auto">
        <a:xfrm>
          <a:off x="8448675" y="615950"/>
          <a:ext cx="971550" cy="32385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Grocery Shop</a:t>
          </a:r>
        </a:p>
      </xdr:txBody>
    </xdr:sp>
    <xdr:clientData/>
  </xdr:twoCellAnchor>
  <xdr:twoCellAnchor editAs="oneCell">
    <xdr:from>
      <xdr:col>7</xdr:col>
      <xdr:colOff>790575</xdr:colOff>
      <xdr:row>1</xdr:row>
      <xdr:rowOff>292100</xdr:rowOff>
    </xdr:from>
    <xdr:to>
      <xdr:col>8</xdr:col>
      <xdr:colOff>485775</xdr:colOff>
      <xdr:row>2</xdr:row>
      <xdr:rowOff>292100</xdr:rowOff>
    </xdr:to>
    <xdr:sp macro="Obj008_Click" textlink="">
      <xdr:nvSpPr>
        <xdr:cNvPr id="3617" name="F003"/>
        <xdr:cNvSpPr/>
      </xdr:nvSpPr>
      <xdr:spPr bwMode="auto">
        <a:xfrm>
          <a:off x="9725025" y="615950"/>
          <a:ext cx="971550" cy="323850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Kitchen Inventory</a:t>
          </a:r>
        </a:p>
      </xdr:txBody>
    </xdr:sp>
    <xdr:clientData/>
  </xdr:twoCellAnchor>
  <xdr:twoCellAnchor editAs="oneCell">
    <xdr:from>
      <xdr:col>8</xdr:col>
      <xdr:colOff>790575</xdr:colOff>
      <xdr:row>1</xdr:row>
      <xdr:rowOff>292100</xdr:rowOff>
    </xdr:from>
    <xdr:to>
      <xdr:col>9</xdr:col>
      <xdr:colOff>485775</xdr:colOff>
      <xdr:row>2</xdr:row>
      <xdr:rowOff>292100</xdr:rowOff>
    </xdr:to>
    <xdr:sp macro="Obj009_Click" textlink="">
      <xdr:nvSpPr>
        <xdr:cNvPr id="3619" name="P003"/>
        <xdr:cNvSpPr/>
      </xdr:nvSpPr>
      <xdr:spPr bwMode="auto">
        <a:xfrm>
          <a:off x="11001375" y="615950"/>
          <a:ext cx="971550" cy="323850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Inventory Database</a:t>
          </a:r>
        </a:p>
      </xdr:txBody>
    </xdr:sp>
    <xdr:clientData/>
  </xdr:twoCellAnchor>
  <xdr:twoCellAnchor editAs="oneCell">
    <xdr:from>
      <xdr:col>9</xdr:col>
      <xdr:colOff>790575</xdr:colOff>
      <xdr:row>1</xdr:row>
      <xdr:rowOff>292100</xdr:rowOff>
    </xdr:from>
    <xdr:to>
      <xdr:col>10</xdr:col>
      <xdr:colOff>485775</xdr:colOff>
      <xdr:row>2</xdr:row>
      <xdr:rowOff>292100</xdr:rowOff>
    </xdr:to>
    <xdr:sp macro="Obj010_Click" textlink="">
      <xdr:nvSpPr>
        <xdr:cNvPr id="3621" name="F004"/>
        <xdr:cNvSpPr/>
      </xdr:nvSpPr>
      <xdr:spPr bwMode="auto">
        <a:xfrm>
          <a:off x="12277725" y="615950"/>
          <a:ext cx="971550" cy="323850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Execute Recipe</a:t>
          </a:r>
        </a:p>
      </xdr:txBody>
    </xdr:sp>
    <xdr:clientData/>
  </xdr:twoCellAnchor>
  <xdr:twoCellAnchor editAs="oneCell">
    <xdr:from>
      <xdr:col>10</xdr:col>
      <xdr:colOff>790575</xdr:colOff>
      <xdr:row>1</xdr:row>
      <xdr:rowOff>292100</xdr:rowOff>
    </xdr:from>
    <xdr:to>
      <xdr:col>11</xdr:col>
      <xdr:colOff>485775</xdr:colOff>
      <xdr:row>2</xdr:row>
      <xdr:rowOff>292100</xdr:rowOff>
    </xdr:to>
    <xdr:sp macro="Obj011_Click" textlink="">
      <xdr:nvSpPr>
        <xdr:cNvPr id="3623" name="A003"/>
        <xdr:cNvSpPr/>
      </xdr:nvSpPr>
      <xdr:spPr bwMode="auto">
        <a:xfrm>
          <a:off x="13554075" y="615950"/>
          <a:ext cx="971550" cy="32385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Kitchen Controls</a:t>
          </a:r>
        </a:p>
      </xdr:txBody>
    </xdr:sp>
    <xdr:clientData/>
  </xdr:twoCellAnchor>
  <xdr:twoCellAnchor editAs="oneCell">
    <xdr:from>
      <xdr:col>11</xdr:col>
      <xdr:colOff>790575</xdr:colOff>
      <xdr:row>1</xdr:row>
      <xdr:rowOff>292100</xdr:rowOff>
    </xdr:from>
    <xdr:to>
      <xdr:col>12</xdr:col>
      <xdr:colOff>485775</xdr:colOff>
      <xdr:row>2</xdr:row>
      <xdr:rowOff>292100</xdr:rowOff>
    </xdr:to>
    <xdr:sp macro="Obj012_Click" textlink="">
      <xdr:nvSpPr>
        <xdr:cNvPr id="3625" name="A004"/>
        <xdr:cNvSpPr/>
      </xdr:nvSpPr>
      <xdr:spPr bwMode="auto">
        <a:xfrm>
          <a:off x="14830425" y="615950"/>
          <a:ext cx="971550" cy="32385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Boiling Plates</a:t>
          </a:r>
        </a:p>
      </xdr:txBody>
    </xdr:sp>
    <xdr:clientData/>
  </xdr:twoCellAnchor>
  <xdr:twoCellAnchor editAs="oneCell">
    <xdr:from>
      <xdr:col>12</xdr:col>
      <xdr:colOff>790575</xdr:colOff>
      <xdr:row>1</xdr:row>
      <xdr:rowOff>292100</xdr:rowOff>
    </xdr:from>
    <xdr:to>
      <xdr:col>13</xdr:col>
      <xdr:colOff>485775</xdr:colOff>
      <xdr:row>2</xdr:row>
      <xdr:rowOff>292100</xdr:rowOff>
    </xdr:to>
    <xdr:sp macro="Obj013_Click" textlink="">
      <xdr:nvSpPr>
        <xdr:cNvPr id="3627" name="A005"/>
        <xdr:cNvSpPr/>
      </xdr:nvSpPr>
      <xdr:spPr bwMode="auto">
        <a:xfrm>
          <a:off x="16106775" y="615950"/>
          <a:ext cx="971550" cy="32385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Oven &amp; Steamer</a:t>
          </a:r>
        </a:p>
      </xdr:txBody>
    </xdr:sp>
    <xdr:clientData/>
  </xdr:twoCellAnchor>
  <xdr:twoCellAnchor editAs="oneCell">
    <xdr:from>
      <xdr:col>13</xdr:col>
      <xdr:colOff>790575</xdr:colOff>
      <xdr:row>1</xdr:row>
      <xdr:rowOff>292100</xdr:rowOff>
    </xdr:from>
    <xdr:to>
      <xdr:col>14</xdr:col>
      <xdr:colOff>485775</xdr:colOff>
      <xdr:row>2</xdr:row>
      <xdr:rowOff>292100</xdr:rowOff>
    </xdr:to>
    <xdr:sp macro="Obj014_Click" textlink="">
      <xdr:nvSpPr>
        <xdr:cNvPr id="3629" name="P004"/>
        <xdr:cNvSpPr/>
      </xdr:nvSpPr>
      <xdr:spPr bwMode="auto">
        <a:xfrm>
          <a:off x="17383125" y="615950"/>
          <a:ext cx="971550" cy="323850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Recipe Log</a:t>
          </a:r>
        </a:p>
      </xdr:txBody>
    </xdr:sp>
    <xdr:clientData/>
  </xdr:twoCellAnchor>
  <xdr:twoCellAnchor>
    <xdr:from>
      <xdr:col>0</xdr:col>
      <xdr:colOff>1209675</xdr:colOff>
      <xdr:row>3</xdr:row>
      <xdr:rowOff>167332</xdr:rowOff>
    </xdr:from>
    <xdr:to>
      <xdr:col>2</xdr:col>
      <xdr:colOff>66675</xdr:colOff>
      <xdr:row>4</xdr:row>
      <xdr:rowOff>57150</xdr:rowOff>
    </xdr:to>
    <xdr:grpSp>
      <xdr:nvGrpSpPr>
        <xdr:cNvPr id="3635" name="E001"/>
        <xdr:cNvGrpSpPr/>
      </xdr:nvGrpSpPr>
      <xdr:grpSpPr>
        <a:xfrm>
          <a:off x="1209675" y="1131738"/>
          <a:ext cx="1404938" cy="211287"/>
          <a:chOff x="1209675" y="1138882"/>
          <a:chExt cx="1409700" cy="213668"/>
        </a:xfrm>
      </xdr:grpSpPr>
      <xdr:sp macro="Mov001_Click" textlink="">
        <xdr:nvSpPr>
          <xdr:cNvPr id="3631" name="E001L"/>
          <xdr:cNvSpPr/>
        </xdr:nvSpPr>
        <xdr:spPr bwMode="auto">
          <a:xfrm>
            <a:off x="1209675" y="12382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1_Click" textlink="">
        <xdr:nvSpPr>
          <xdr:cNvPr id="3632" name="E001R"/>
          <xdr:cNvSpPr/>
        </xdr:nvSpPr>
        <xdr:spPr bwMode="auto">
          <a:xfrm>
            <a:off x="2486025" y="1238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1_Click">
        <xdr:nvCxnSpPr>
          <xdr:cNvPr id="3633" name="E001C"/>
          <xdr:cNvCxnSpPr>
            <a:stCxn id="3631" idx="3"/>
            <a:endCxn id="3632" idx="1"/>
          </xdr:cNvCxnSpPr>
        </xdr:nvCxnSpPr>
        <xdr:spPr bwMode="auto">
          <a:xfrm>
            <a:off x="1343025" y="12954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1_Click" textlink="">
        <xdr:nvSpPr>
          <xdr:cNvPr id="3634" name="E001T"/>
          <xdr:cNvSpPr txBox="1"/>
        </xdr:nvSpPr>
        <xdr:spPr>
          <a:xfrm>
            <a:off x="1343025" y="1138882"/>
            <a:ext cx="102284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1.// Enter New Recipe</a:t>
            </a:r>
          </a:p>
        </xdr:txBody>
      </xdr:sp>
    </xdr:grpSp>
    <xdr:clientData/>
  </xdr:twoCellAnchor>
  <xdr:twoCellAnchor>
    <xdr:from>
      <xdr:col>0</xdr:col>
      <xdr:colOff>80718</xdr:colOff>
      <xdr:row>0</xdr:row>
      <xdr:rowOff>238125</xdr:rowOff>
    </xdr:from>
    <xdr:to>
      <xdr:col>0</xdr:col>
      <xdr:colOff>541581</xdr:colOff>
      <xdr:row>2</xdr:row>
      <xdr:rowOff>305835</xdr:rowOff>
    </xdr:to>
    <xdr:grpSp>
      <xdr:nvGrpSpPr>
        <xdr:cNvPr id="3638" name="T01"/>
        <xdr:cNvGrpSpPr/>
      </xdr:nvGrpSpPr>
      <xdr:grpSpPr>
        <a:xfrm>
          <a:off x="80718" y="238125"/>
          <a:ext cx="460863" cy="710648"/>
          <a:chOff x="80718" y="238125"/>
          <a:chExt cx="460863" cy="715410"/>
        </a:xfrm>
      </xdr:grpSpPr>
      <xdr:sp macro="Trg001_Click" textlink="">
        <xdr:nvSpPr>
          <xdr:cNvPr id="3636" name="T01S"/>
          <xdr:cNvSpPr/>
        </xdr:nvSpPr>
        <xdr:spPr bwMode="auto">
          <a:xfrm>
            <a:off x="85725" y="23812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01_Click" textlink="">
        <xdr:nvSpPr>
          <xdr:cNvPr id="3637" name="T01T"/>
          <xdr:cNvSpPr txBox="1"/>
        </xdr:nvSpPr>
        <xdr:spPr>
          <a:xfrm>
            <a:off x="80718" y="68897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Enter</a:t>
            </a:r>
          </a:p>
        </xdr:txBody>
      </xdr:sp>
    </xdr:grpSp>
    <xdr:clientData/>
  </xdr:twoCellAnchor>
  <xdr:twoCellAnchor>
    <xdr:from>
      <xdr:col>0</xdr:col>
      <xdr:colOff>311150</xdr:colOff>
      <xdr:row>2</xdr:row>
      <xdr:rowOff>305834</xdr:rowOff>
    </xdr:from>
    <xdr:to>
      <xdr:col>0</xdr:col>
      <xdr:colOff>1209675</xdr:colOff>
      <xdr:row>3</xdr:row>
      <xdr:rowOff>323849</xdr:rowOff>
    </xdr:to>
    <xdr:cxnSp macro="">
      <xdr:nvCxnSpPr>
        <xdr:cNvPr id="3639" name="T01C"/>
        <xdr:cNvCxnSpPr>
          <a:stCxn id="3637" idx="2"/>
          <a:endCxn id="3631" idx="1"/>
        </xdr:cNvCxnSpPr>
      </xdr:nvCxnSpPr>
      <xdr:spPr bwMode="auto">
        <a:xfrm rot="16200000" flipH="1">
          <a:off x="589480" y="67520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1209675</xdr:colOff>
      <xdr:row>4</xdr:row>
      <xdr:rowOff>167332</xdr:rowOff>
    </xdr:from>
    <xdr:to>
      <xdr:col>3</xdr:col>
      <xdr:colOff>66675</xdr:colOff>
      <xdr:row>5</xdr:row>
      <xdr:rowOff>57150</xdr:rowOff>
    </xdr:to>
    <xdr:grpSp>
      <xdr:nvGrpSpPr>
        <xdr:cNvPr id="3644" name="W001"/>
        <xdr:cNvGrpSpPr/>
      </xdr:nvGrpSpPr>
      <xdr:grpSpPr>
        <a:xfrm>
          <a:off x="2483644" y="1453207"/>
          <a:ext cx="1404937" cy="211287"/>
          <a:chOff x="2486025" y="1462732"/>
          <a:chExt cx="1409700" cy="213668"/>
        </a:xfrm>
      </xdr:grpSpPr>
      <xdr:sp macro="Mov002_Click" textlink="">
        <xdr:nvSpPr>
          <xdr:cNvPr id="3640" name="W001L"/>
          <xdr:cNvSpPr/>
        </xdr:nvSpPr>
        <xdr:spPr bwMode="auto">
          <a:xfrm>
            <a:off x="2486025" y="15621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2_Click" textlink="">
        <xdr:nvSpPr>
          <xdr:cNvPr id="3641" name="W001R"/>
          <xdr:cNvSpPr/>
        </xdr:nvSpPr>
        <xdr:spPr bwMode="auto">
          <a:xfrm>
            <a:off x="3762375" y="1562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2_Click">
        <xdr:nvCxnSpPr>
          <xdr:cNvPr id="3642" name="W001C"/>
          <xdr:cNvCxnSpPr>
            <a:stCxn id="3640" idx="3"/>
            <a:endCxn id="3641" idx="1"/>
          </xdr:cNvCxnSpPr>
        </xdr:nvCxnSpPr>
        <xdr:spPr bwMode="auto">
          <a:xfrm>
            <a:off x="2619375" y="16192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2_Click" textlink="">
        <xdr:nvSpPr>
          <xdr:cNvPr id="3643" name="W001T"/>
          <xdr:cNvSpPr txBox="1"/>
        </xdr:nvSpPr>
        <xdr:spPr>
          <a:xfrm>
            <a:off x="2619375" y="1462732"/>
            <a:ext cx="78329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2.// Store Recipe</a:t>
            </a:r>
          </a:p>
        </xdr:txBody>
      </xdr:sp>
    </xdr:grpSp>
    <xdr:clientData/>
  </xdr:twoCellAnchor>
  <xdr:twoCellAnchor>
    <xdr:from>
      <xdr:col>1</xdr:col>
      <xdr:colOff>1209675</xdr:colOff>
      <xdr:row>5</xdr:row>
      <xdr:rowOff>167332</xdr:rowOff>
    </xdr:from>
    <xdr:to>
      <xdr:col>3</xdr:col>
      <xdr:colOff>66675</xdr:colOff>
      <xdr:row>6</xdr:row>
      <xdr:rowOff>57150</xdr:rowOff>
    </xdr:to>
    <xdr:grpSp>
      <xdr:nvGrpSpPr>
        <xdr:cNvPr id="2753" name="R001"/>
        <xdr:cNvGrpSpPr/>
      </xdr:nvGrpSpPr>
      <xdr:grpSpPr>
        <a:xfrm>
          <a:off x="2483644" y="1774676"/>
          <a:ext cx="1404937" cy="211287"/>
          <a:chOff x="2486025" y="1786582"/>
          <a:chExt cx="1409700" cy="213668"/>
        </a:xfrm>
      </xdr:grpSpPr>
      <xdr:sp macro="Mov003_Click" textlink="">
        <xdr:nvSpPr>
          <xdr:cNvPr id="3645" name="R001L"/>
          <xdr:cNvSpPr/>
        </xdr:nvSpPr>
        <xdr:spPr bwMode="auto">
          <a:xfrm>
            <a:off x="3762375" y="18859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3_Click" textlink="">
        <xdr:nvSpPr>
          <xdr:cNvPr id="3646" name="R001R"/>
          <xdr:cNvSpPr/>
        </xdr:nvSpPr>
        <xdr:spPr bwMode="auto">
          <a:xfrm>
            <a:off x="2486025" y="1885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3_Click">
        <xdr:nvCxnSpPr>
          <xdr:cNvPr id="3647" name="R001C"/>
          <xdr:cNvCxnSpPr>
            <a:stCxn id="3645" idx="1"/>
            <a:endCxn id="3646" idx="3"/>
          </xdr:cNvCxnSpPr>
        </xdr:nvCxnSpPr>
        <xdr:spPr bwMode="auto">
          <a:xfrm flipH="1">
            <a:off x="2619375" y="19431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3_Click" textlink="">
        <xdr:nvSpPr>
          <xdr:cNvPr id="2752" name="R001T"/>
          <xdr:cNvSpPr txBox="1"/>
        </xdr:nvSpPr>
        <xdr:spPr>
          <a:xfrm>
            <a:off x="2979148" y="1786582"/>
            <a:ext cx="78329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3.// Read Recipe</a:t>
            </a:r>
          </a:p>
        </xdr:txBody>
      </xdr:sp>
    </xdr:grpSp>
    <xdr:clientData/>
  </xdr:twoCellAnchor>
  <xdr:twoCellAnchor>
    <xdr:from>
      <xdr:col>0</xdr:col>
      <xdr:colOff>1209675</xdr:colOff>
      <xdr:row>6</xdr:row>
      <xdr:rowOff>167332</xdr:rowOff>
    </xdr:from>
    <xdr:to>
      <xdr:col>2</xdr:col>
      <xdr:colOff>66675</xdr:colOff>
      <xdr:row>7</xdr:row>
      <xdr:rowOff>57150</xdr:rowOff>
    </xdr:to>
    <xdr:grpSp>
      <xdr:nvGrpSpPr>
        <xdr:cNvPr id="2758" name="E002"/>
        <xdr:cNvGrpSpPr/>
      </xdr:nvGrpSpPr>
      <xdr:grpSpPr>
        <a:xfrm>
          <a:off x="1209675" y="2096145"/>
          <a:ext cx="1404938" cy="211286"/>
          <a:chOff x="1209675" y="2110432"/>
          <a:chExt cx="1409700" cy="213668"/>
        </a:xfrm>
      </xdr:grpSpPr>
      <xdr:sp macro="Mov004_Click" textlink="">
        <xdr:nvSpPr>
          <xdr:cNvPr id="2754" name="E002L"/>
          <xdr:cNvSpPr/>
        </xdr:nvSpPr>
        <xdr:spPr bwMode="auto">
          <a:xfrm>
            <a:off x="1209675" y="22098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4_Click" textlink="">
        <xdr:nvSpPr>
          <xdr:cNvPr id="2755" name="E002R"/>
          <xdr:cNvSpPr/>
        </xdr:nvSpPr>
        <xdr:spPr bwMode="auto">
          <a:xfrm>
            <a:off x="2486025" y="2209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4_Click">
        <xdr:nvCxnSpPr>
          <xdr:cNvPr id="2756" name="E002C"/>
          <xdr:cNvCxnSpPr>
            <a:stCxn id="2754" idx="3"/>
            <a:endCxn id="2755" idx="1"/>
          </xdr:cNvCxnSpPr>
        </xdr:nvCxnSpPr>
        <xdr:spPr bwMode="auto">
          <a:xfrm>
            <a:off x="1343025" y="22669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4_Click" textlink="">
        <xdr:nvSpPr>
          <xdr:cNvPr id="2757" name="E002T"/>
          <xdr:cNvSpPr txBox="1"/>
        </xdr:nvSpPr>
        <xdr:spPr>
          <a:xfrm>
            <a:off x="1343025" y="2110432"/>
            <a:ext cx="84164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4.// Modify Recipe</a:t>
            </a:r>
          </a:p>
        </xdr:txBody>
      </xdr:sp>
    </xdr:grpSp>
    <xdr:clientData/>
  </xdr:twoCellAnchor>
  <xdr:twoCellAnchor>
    <xdr:from>
      <xdr:col>0</xdr:col>
      <xdr:colOff>1209675</xdr:colOff>
      <xdr:row>7</xdr:row>
      <xdr:rowOff>167332</xdr:rowOff>
    </xdr:from>
    <xdr:to>
      <xdr:col>2</xdr:col>
      <xdr:colOff>66675</xdr:colOff>
      <xdr:row>8</xdr:row>
      <xdr:rowOff>57150</xdr:rowOff>
    </xdr:to>
    <xdr:grpSp>
      <xdr:nvGrpSpPr>
        <xdr:cNvPr id="2763" name="E003"/>
        <xdr:cNvGrpSpPr/>
      </xdr:nvGrpSpPr>
      <xdr:grpSpPr>
        <a:xfrm>
          <a:off x="1209675" y="2417613"/>
          <a:ext cx="1404938" cy="211287"/>
          <a:chOff x="1209675" y="2434282"/>
          <a:chExt cx="1409700" cy="213668"/>
        </a:xfrm>
      </xdr:grpSpPr>
      <xdr:sp macro="Mov005_Click" textlink="">
        <xdr:nvSpPr>
          <xdr:cNvPr id="2759" name="E003L"/>
          <xdr:cNvSpPr/>
        </xdr:nvSpPr>
        <xdr:spPr bwMode="auto">
          <a:xfrm>
            <a:off x="1209675" y="25336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5_Click" textlink="">
        <xdr:nvSpPr>
          <xdr:cNvPr id="2760" name="E003R"/>
          <xdr:cNvSpPr/>
        </xdr:nvSpPr>
        <xdr:spPr bwMode="auto">
          <a:xfrm>
            <a:off x="2486025" y="2533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5_Click">
        <xdr:nvCxnSpPr>
          <xdr:cNvPr id="2761" name="E003C"/>
          <xdr:cNvCxnSpPr>
            <a:stCxn id="2759" idx="3"/>
            <a:endCxn id="2760" idx="1"/>
          </xdr:cNvCxnSpPr>
        </xdr:nvCxnSpPr>
        <xdr:spPr bwMode="auto">
          <a:xfrm>
            <a:off x="1343025" y="25908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5_Click" textlink="">
        <xdr:nvSpPr>
          <xdr:cNvPr id="2762" name="E003T"/>
          <xdr:cNvSpPr txBox="1"/>
        </xdr:nvSpPr>
        <xdr:spPr>
          <a:xfrm>
            <a:off x="1343025" y="2434282"/>
            <a:ext cx="83587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5.// Delete Recipe</a:t>
            </a:r>
          </a:p>
        </xdr:txBody>
      </xdr:sp>
    </xdr:grpSp>
    <xdr:clientData/>
  </xdr:twoCellAnchor>
  <xdr:twoCellAnchor>
    <xdr:from>
      <xdr:col>0</xdr:col>
      <xdr:colOff>1209675</xdr:colOff>
      <xdr:row>8</xdr:row>
      <xdr:rowOff>167332</xdr:rowOff>
    </xdr:from>
    <xdr:to>
      <xdr:col>2</xdr:col>
      <xdr:colOff>66675</xdr:colOff>
      <xdr:row>9</xdr:row>
      <xdr:rowOff>57150</xdr:rowOff>
    </xdr:to>
    <xdr:grpSp>
      <xdr:nvGrpSpPr>
        <xdr:cNvPr id="2768" name="X001"/>
        <xdr:cNvGrpSpPr/>
      </xdr:nvGrpSpPr>
      <xdr:grpSpPr>
        <a:xfrm>
          <a:off x="1209675" y="2739082"/>
          <a:ext cx="1404938" cy="211287"/>
          <a:chOff x="1209675" y="2758132"/>
          <a:chExt cx="1409700" cy="213668"/>
        </a:xfrm>
      </xdr:grpSpPr>
      <xdr:sp macro="Mov006_Click" textlink="">
        <xdr:nvSpPr>
          <xdr:cNvPr id="2764" name="X001L"/>
          <xdr:cNvSpPr/>
        </xdr:nvSpPr>
        <xdr:spPr bwMode="auto">
          <a:xfrm>
            <a:off x="2486025" y="28575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6_Click" textlink="">
        <xdr:nvSpPr>
          <xdr:cNvPr id="2765" name="X001R"/>
          <xdr:cNvSpPr/>
        </xdr:nvSpPr>
        <xdr:spPr bwMode="auto">
          <a:xfrm>
            <a:off x="1209675" y="2857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6_Click">
        <xdr:nvCxnSpPr>
          <xdr:cNvPr id="2766" name="X001C"/>
          <xdr:cNvCxnSpPr>
            <a:stCxn id="2764" idx="1"/>
            <a:endCxn id="2765" idx="3"/>
          </xdr:cNvCxnSpPr>
        </xdr:nvCxnSpPr>
        <xdr:spPr bwMode="auto">
          <a:xfrm flipH="1">
            <a:off x="1343025" y="29146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6_Click" textlink="">
        <xdr:nvSpPr>
          <xdr:cNvPr id="2767" name="X001T"/>
          <xdr:cNvSpPr txBox="1"/>
        </xdr:nvSpPr>
        <xdr:spPr>
          <a:xfrm>
            <a:off x="1691128" y="2758132"/>
            <a:ext cx="79496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6.// Show Recipe</a:t>
            </a:r>
          </a:p>
        </xdr:txBody>
      </xdr:sp>
    </xdr:grpSp>
    <xdr:clientData/>
  </xdr:twoCellAnchor>
  <xdr:twoCellAnchor>
    <xdr:from>
      <xdr:col>0</xdr:col>
      <xdr:colOff>1209675</xdr:colOff>
      <xdr:row>9</xdr:row>
      <xdr:rowOff>167332</xdr:rowOff>
    </xdr:from>
    <xdr:to>
      <xdr:col>2</xdr:col>
      <xdr:colOff>66675</xdr:colOff>
      <xdr:row>10</xdr:row>
      <xdr:rowOff>57150</xdr:rowOff>
    </xdr:to>
    <xdr:grpSp>
      <xdr:nvGrpSpPr>
        <xdr:cNvPr id="2773" name="X002"/>
        <xdr:cNvGrpSpPr/>
      </xdr:nvGrpSpPr>
      <xdr:grpSpPr>
        <a:xfrm>
          <a:off x="1209675" y="3060551"/>
          <a:ext cx="1404938" cy="211287"/>
          <a:chOff x="1209675" y="3081982"/>
          <a:chExt cx="1409700" cy="213668"/>
        </a:xfrm>
      </xdr:grpSpPr>
      <xdr:sp macro="Mov007_Click" textlink="">
        <xdr:nvSpPr>
          <xdr:cNvPr id="2769" name="X002L"/>
          <xdr:cNvSpPr/>
        </xdr:nvSpPr>
        <xdr:spPr bwMode="auto">
          <a:xfrm>
            <a:off x="2486025" y="31813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7_Click" textlink="">
        <xdr:nvSpPr>
          <xdr:cNvPr id="2770" name="X002R"/>
          <xdr:cNvSpPr/>
        </xdr:nvSpPr>
        <xdr:spPr bwMode="auto">
          <a:xfrm>
            <a:off x="1209675" y="3181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7_Click">
        <xdr:nvCxnSpPr>
          <xdr:cNvPr id="2771" name="X002C"/>
          <xdr:cNvCxnSpPr>
            <a:stCxn id="2769" idx="1"/>
            <a:endCxn id="2770" idx="3"/>
          </xdr:cNvCxnSpPr>
        </xdr:nvCxnSpPr>
        <xdr:spPr bwMode="auto">
          <a:xfrm flipH="1">
            <a:off x="1343025" y="3238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7_Click" textlink="">
        <xdr:nvSpPr>
          <xdr:cNvPr id="2772" name="X002T"/>
          <xdr:cNvSpPr txBox="1"/>
        </xdr:nvSpPr>
        <xdr:spPr>
          <a:xfrm>
            <a:off x="1533392" y="3081982"/>
            <a:ext cx="95269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7.// Recipe Statistics</a:t>
            </a:r>
          </a:p>
        </xdr:txBody>
      </xdr:sp>
    </xdr:grpSp>
    <xdr:clientData/>
  </xdr:twoCellAnchor>
  <xdr:twoCellAnchor>
    <xdr:from>
      <xdr:col>0</xdr:col>
      <xdr:colOff>1209675</xdr:colOff>
      <xdr:row>10</xdr:row>
      <xdr:rowOff>167332</xdr:rowOff>
    </xdr:from>
    <xdr:to>
      <xdr:col>2</xdr:col>
      <xdr:colOff>66675</xdr:colOff>
      <xdr:row>11</xdr:row>
      <xdr:rowOff>57150</xdr:rowOff>
    </xdr:to>
    <xdr:grpSp>
      <xdr:nvGrpSpPr>
        <xdr:cNvPr id="2778" name="E004"/>
        <xdr:cNvGrpSpPr/>
      </xdr:nvGrpSpPr>
      <xdr:grpSpPr>
        <a:xfrm>
          <a:off x="1209675" y="3382020"/>
          <a:ext cx="1404938" cy="211286"/>
          <a:chOff x="1209675" y="3405832"/>
          <a:chExt cx="1409700" cy="213668"/>
        </a:xfrm>
      </xdr:grpSpPr>
      <xdr:sp macro="Mov008_Click" textlink="">
        <xdr:nvSpPr>
          <xdr:cNvPr id="2774" name="E004L"/>
          <xdr:cNvSpPr/>
        </xdr:nvSpPr>
        <xdr:spPr bwMode="auto">
          <a:xfrm>
            <a:off x="1209675" y="35052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8_Click" textlink="">
        <xdr:nvSpPr>
          <xdr:cNvPr id="2775" name="E004R"/>
          <xdr:cNvSpPr/>
        </xdr:nvSpPr>
        <xdr:spPr bwMode="auto">
          <a:xfrm>
            <a:off x="2486025" y="3505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8_Click">
        <xdr:nvCxnSpPr>
          <xdr:cNvPr id="2776" name="E004C"/>
          <xdr:cNvCxnSpPr>
            <a:stCxn id="2774" idx="3"/>
            <a:endCxn id="2775" idx="1"/>
          </xdr:cNvCxnSpPr>
        </xdr:nvCxnSpPr>
        <xdr:spPr bwMode="auto">
          <a:xfrm>
            <a:off x="1343025" y="35623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8_Click" textlink="">
        <xdr:nvSpPr>
          <xdr:cNvPr id="2777" name="E004T"/>
          <xdr:cNvSpPr txBox="1"/>
        </xdr:nvSpPr>
        <xdr:spPr>
          <a:xfrm>
            <a:off x="1343025" y="3405832"/>
            <a:ext cx="86510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8.// Search Recipe</a:t>
            </a:r>
          </a:p>
        </xdr:txBody>
      </xdr:sp>
    </xdr:grpSp>
    <xdr:clientData/>
  </xdr:twoCellAnchor>
  <xdr:twoCellAnchor>
    <xdr:from>
      <xdr:col>0</xdr:col>
      <xdr:colOff>80718</xdr:colOff>
      <xdr:row>7</xdr:row>
      <xdr:rowOff>238125</xdr:rowOff>
    </xdr:from>
    <xdr:to>
      <xdr:col>0</xdr:col>
      <xdr:colOff>541581</xdr:colOff>
      <xdr:row>9</xdr:row>
      <xdr:rowOff>305835</xdr:rowOff>
    </xdr:to>
    <xdr:grpSp>
      <xdr:nvGrpSpPr>
        <xdr:cNvPr id="2781" name="T02"/>
        <xdr:cNvGrpSpPr/>
      </xdr:nvGrpSpPr>
      <xdr:grpSpPr>
        <a:xfrm>
          <a:off x="80718" y="2488406"/>
          <a:ext cx="460863" cy="710648"/>
          <a:chOff x="80718" y="2505075"/>
          <a:chExt cx="460863" cy="715410"/>
        </a:xfrm>
      </xdr:grpSpPr>
      <xdr:sp macro="Trg008_Click" textlink="">
        <xdr:nvSpPr>
          <xdr:cNvPr id="2779" name="T02S"/>
          <xdr:cNvSpPr/>
        </xdr:nvSpPr>
        <xdr:spPr bwMode="auto">
          <a:xfrm>
            <a:off x="85725" y="25050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08_Click" textlink="">
        <xdr:nvSpPr>
          <xdr:cNvPr id="2780" name="T02T"/>
          <xdr:cNvSpPr txBox="1"/>
        </xdr:nvSpPr>
        <xdr:spPr>
          <a:xfrm>
            <a:off x="80718" y="29559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Search</a:t>
            </a:r>
          </a:p>
        </xdr:txBody>
      </xdr:sp>
    </xdr:grpSp>
    <xdr:clientData/>
  </xdr:twoCellAnchor>
  <xdr:twoCellAnchor>
    <xdr:from>
      <xdr:col>0</xdr:col>
      <xdr:colOff>311150</xdr:colOff>
      <xdr:row>9</xdr:row>
      <xdr:rowOff>305834</xdr:rowOff>
    </xdr:from>
    <xdr:to>
      <xdr:col>0</xdr:col>
      <xdr:colOff>1209675</xdr:colOff>
      <xdr:row>10</xdr:row>
      <xdr:rowOff>323849</xdr:rowOff>
    </xdr:to>
    <xdr:cxnSp macro="">
      <xdr:nvCxnSpPr>
        <xdr:cNvPr id="2782" name="T02C"/>
        <xdr:cNvCxnSpPr>
          <a:stCxn id="2780" idx="2"/>
          <a:endCxn id="2774" idx="1"/>
        </xdr:cNvCxnSpPr>
      </xdr:nvCxnSpPr>
      <xdr:spPr bwMode="auto">
        <a:xfrm rot="16200000" flipH="1">
          <a:off x="589480" y="294215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1209675</xdr:colOff>
      <xdr:row>11</xdr:row>
      <xdr:rowOff>167332</xdr:rowOff>
    </xdr:from>
    <xdr:to>
      <xdr:col>4</xdr:col>
      <xdr:colOff>66675</xdr:colOff>
      <xdr:row>12</xdr:row>
      <xdr:rowOff>57150</xdr:rowOff>
    </xdr:to>
    <xdr:grpSp>
      <xdr:nvGrpSpPr>
        <xdr:cNvPr id="2787" name="X003"/>
        <xdr:cNvGrpSpPr/>
      </xdr:nvGrpSpPr>
      <xdr:grpSpPr>
        <a:xfrm>
          <a:off x="2483644" y="3703488"/>
          <a:ext cx="2678906" cy="211287"/>
          <a:chOff x="2486025" y="3729682"/>
          <a:chExt cx="2686050" cy="213668"/>
        </a:xfrm>
      </xdr:grpSpPr>
      <xdr:sp macro="Mov009_Click" textlink="">
        <xdr:nvSpPr>
          <xdr:cNvPr id="2783" name="X003L"/>
          <xdr:cNvSpPr/>
        </xdr:nvSpPr>
        <xdr:spPr bwMode="auto">
          <a:xfrm>
            <a:off x="2486025" y="382905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9_Click" textlink="">
        <xdr:nvSpPr>
          <xdr:cNvPr id="2784" name="X003R"/>
          <xdr:cNvSpPr/>
        </xdr:nvSpPr>
        <xdr:spPr bwMode="auto">
          <a:xfrm>
            <a:off x="5038725" y="3829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9_Click">
        <xdr:nvCxnSpPr>
          <xdr:cNvPr id="2785" name="X003C"/>
          <xdr:cNvCxnSpPr>
            <a:stCxn id="2783" idx="3"/>
            <a:endCxn id="2784" idx="1"/>
          </xdr:cNvCxnSpPr>
        </xdr:nvCxnSpPr>
        <xdr:spPr bwMode="auto">
          <a:xfrm>
            <a:off x="2619375" y="388620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9_Click" textlink="">
        <xdr:nvSpPr>
          <xdr:cNvPr id="2786" name="X003T"/>
          <xdr:cNvSpPr txBox="1"/>
        </xdr:nvSpPr>
        <xdr:spPr>
          <a:xfrm>
            <a:off x="2619375" y="3729682"/>
            <a:ext cx="86510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9.// Search Recipe</a:t>
            </a:r>
          </a:p>
        </xdr:txBody>
      </xdr:sp>
    </xdr:grpSp>
    <xdr:clientData/>
  </xdr:twoCellAnchor>
  <xdr:twoCellAnchor>
    <xdr:from>
      <xdr:col>1</xdr:col>
      <xdr:colOff>1209675</xdr:colOff>
      <xdr:row>12</xdr:row>
      <xdr:rowOff>167332</xdr:rowOff>
    </xdr:from>
    <xdr:to>
      <xdr:col>4</xdr:col>
      <xdr:colOff>66675</xdr:colOff>
      <xdr:row>13</xdr:row>
      <xdr:rowOff>57150</xdr:rowOff>
    </xdr:to>
    <xdr:grpSp>
      <xdr:nvGrpSpPr>
        <xdr:cNvPr id="2792" name="E005"/>
        <xdr:cNvGrpSpPr/>
      </xdr:nvGrpSpPr>
      <xdr:grpSpPr>
        <a:xfrm>
          <a:off x="2483644" y="4024957"/>
          <a:ext cx="2678906" cy="211287"/>
          <a:chOff x="2486025" y="4053532"/>
          <a:chExt cx="2686050" cy="213668"/>
        </a:xfrm>
      </xdr:grpSpPr>
      <xdr:sp macro="Mov010_Click" textlink="">
        <xdr:nvSpPr>
          <xdr:cNvPr id="2788" name="E005L"/>
          <xdr:cNvSpPr/>
        </xdr:nvSpPr>
        <xdr:spPr bwMode="auto">
          <a:xfrm>
            <a:off x="5038725" y="415290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0_Click" textlink="">
        <xdr:nvSpPr>
          <xdr:cNvPr id="2789" name="E005R"/>
          <xdr:cNvSpPr/>
        </xdr:nvSpPr>
        <xdr:spPr bwMode="auto">
          <a:xfrm>
            <a:off x="2486025" y="4152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0_Click">
        <xdr:nvCxnSpPr>
          <xdr:cNvPr id="2790" name="E005C"/>
          <xdr:cNvCxnSpPr>
            <a:stCxn id="2788" idx="1"/>
            <a:endCxn id="2789" idx="3"/>
          </xdr:cNvCxnSpPr>
        </xdr:nvCxnSpPr>
        <xdr:spPr bwMode="auto">
          <a:xfrm flipH="1">
            <a:off x="2619375" y="42100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0_Click" textlink="">
        <xdr:nvSpPr>
          <xdr:cNvPr id="2791" name="E005T"/>
          <xdr:cNvSpPr txBox="1"/>
        </xdr:nvSpPr>
        <xdr:spPr>
          <a:xfrm>
            <a:off x="3969137" y="4053532"/>
            <a:ext cx="106965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10.// Matching Recipes</a:t>
            </a:r>
          </a:p>
        </xdr:txBody>
      </xdr:sp>
    </xdr:grpSp>
    <xdr:clientData/>
  </xdr:twoCellAnchor>
  <xdr:twoCellAnchor>
    <xdr:from>
      <xdr:col>0</xdr:col>
      <xdr:colOff>1209675</xdr:colOff>
      <xdr:row>13</xdr:row>
      <xdr:rowOff>167332</xdr:rowOff>
    </xdr:from>
    <xdr:to>
      <xdr:col>2</xdr:col>
      <xdr:colOff>66675</xdr:colOff>
      <xdr:row>14</xdr:row>
      <xdr:rowOff>57150</xdr:rowOff>
    </xdr:to>
    <xdr:grpSp>
      <xdr:nvGrpSpPr>
        <xdr:cNvPr id="2797" name="X004"/>
        <xdr:cNvGrpSpPr/>
      </xdr:nvGrpSpPr>
      <xdr:grpSpPr>
        <a:xfrm>
          <a:off x="1209675" y="4346426"/>
          <a:ext cx="1404938" cy="211287"/>
          <a:chOff x="1209675" y="4377382"/>
          <a:chExt cx="1409700" cy="213668"/>
        </a:xfrm>
      </xdr:grpSpPr>
      <xdr:sp macro="Mov011_Click" textlink="">
        <xdr:nvSpPr>
          <xdr:cNvPr id="2793" name="X004L"/>
          <xdr:cNvSpPr/>
        </xdr:nvSpPr>
        <xdr:spPr bwMode="auto">
          <a:xfrm>
            <a:off x="2486025" y="44767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1_Click" textlink="">
        <xdr:nvSpPr>
          <xdr:cNvPr id="2794" name="X004R"/>
          <xdr:cNvSpPr/>
        </xdr:nvSpPr>
        <xdr:spPr bwMode="auto">
          <a:xfrm>
            <a:off x="1209675" y="4476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1_Click">
        <xdr:nvCxnSpPr>
          <xdr:cNvPr id="2795" name="X004C"/>
          <xdr:cNvCxnSpPr>
            <a:stCxn id="2793" idx="1"/>
            <a:endCxn id="2794" idx="3"/>
          </xdr:cNvCxnSpPr>
        </xdr:nvCxnSpPr>
        <xdr:spPr bwMode="auto">
          <a:xfrm flipH="1">
            <a:off x="1343025" y="45339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1_Click" textlink="">
        <xdr:nvSpPr>
          <xdr:cNvPr id="2796" name="X004T"/>
          <xdr:cNvSpPr txBox="1"/>
        </xdr:nvSpPr>
        <xdr:spPr>
          <a:xfrm>
            <a:off x="1451447" y="4377382"/>
            <a:ext cx="103464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11.// Propose Recipes</a:t>
            </a:r>
          </a:p>
        </xdr:txBody>
      </xdr:sp>
    </xdr:grpSp>
    <xdr:clientData/>
  </xdr:twoCellAnchor>
  <xdr:twoCellAnchor>
    <xdr:from>
      <xdr:col>0</xdr:col>
      <xdr:colOff>1209675</xdr:colOff>
      <xdr:row>14</xdr:row>
      <xdr:rowOff>167332</xdr:rowOff>
    </xdr:from>
    <xdr:to>
      <xdr:col>2</xdr:col>
      <xdr:colOff>66675</xdr:colOff>
      <xdr:row>15</xdr:row>
      <xdr:rowOff>57150</xdr:rowOff>
    </xdr:to>
    <xdr:grpSp>
      <xdr:nvGrpSpPr>
        <xdr:cNvPr id="2802" name="E006"/>
        <xdr:cNvGrpSpPr/>
      </xdr:nvGrpSpPr>
      <xdr:grpSpPr>
        <a:xfrm>
          <a:off x="1209675" y="4667895"/>
          <a:ext cx="1404938" cy="211286"/>
          <a:chOff x="1209675" y="4701232"/>
          <a:chExt cx="1409700" cy="213668"/>
        </a:xfrm>
      </xdr:grpSpPr>
      <xdr:sp macro="Mov012_Click" textlink="">
        <xdr:nvSpPr>
          <xdr:cNvPr id="2798" name="E006L"/>
          <xdr:cNvSpPr/>
        </xdr:nvSpPr>
        <xdr:spPr bwMode="auto">
          <a:xfrm>
            <a:off x="1209675" y="48006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2_Click" textlink="">
        <xdr:nvSpPr>
          <xdr:cNvPr id="2799" name="E006R"/>
          <xdr:cNvSpPr/>
        </xdr:nvSpPr>
        <xdr:spPr bwMode="auto">
          <a:xfrm>
            <a:off x="2486025" y="4800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2_Click">
        <xdr:nvCxnSpPr>
          <xdr:cNvPr id="2800" name="E006C"/>
          <xdr:cNvCxnSpPr>
            <a:stCxn id="2798" idx="3"/>
            <a:endCxn id="2799" idx="1"/>
          </xdr:cNvCxnSpPr>
        </xdr:nvCxnSpPr>
        <xdr:spPr bwMode="auto">
          <a:xfrm>
            <a:off x="1343025" y="48577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2_Click" textlink="">
        <xdr:nvSpPr>
          <xdr:cNvPr id="2801" name="E006T"/>
          <xdr:cNvSpPr txBox="1"/>
        </xdr:nvSpPr>
        <xdr:spPr>
          <a:xfrm>
            <a:off x="1343025" y="4701232"/>
            <a:ext cx="93525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12.// Select Recipes</a:t>
            </a:r>
          </a:p>
        </xdr:txBody>
      </xdr:sp>
    </xdr:grpSp>
    <xdr:clientData/>
  </xdr:twoCellAnchor>
  <xdr:twoCellAnchor>
    <xdr:from>
      <xdr:col>1</xdr:col>
      <xdr:colOff>1209675</xdr:colOff>
      <xdr:row>15</xdr:row>
      <xdr:rowOff>167332</xdr:rowOff>
    </xdr:from>
    <xdr:to>
      <xdr:col>3</xdr:col>
      <xdr:colOff>66675</xdr:colOff>
      <xdr:row>16</xdr:row>
      <xdr:rowOff>57150</xdr:rowOff>
    </xdr:to>
    <xdr:grpSp>
      <xdr:nvGrpSpPr>
        <xdr:cNvPr id="2807" name="W002"/>
        <xdr:cNvGrpSpPr/>
      </xdr:nvGrpSpPr>
      <xdr:grpSpPr>
        <a:xfrm>
          <a:off x="2483644" y="4989363"/>
          <a:ext cx="1404937" cy="211287"/>
          <a:chOff x="2486025" y="5025082"/>
          <a:chExt cx="1409700" cy="213668"/>
        </a:xfrm>
      </xdr:grpSpPr>
      <xdr:sp macro="Mov013_Click" textlink="">
        <xdr:nvSpPr>
          <xdr:cNvPr id="2803" name="W002L"/>
          <xdr:cNvSpPr/>
        </xdr:nvSpPr>
        <xdr:spPr bwMode="auto">
          <a:xfrm>
            <a:off x="2486025" y="51244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3_Click" textlink="">
        <xdr:nvSpPr>
          <xdr:cNvPr id="2804" name="W002R"/>
          <xdr:cNvSpPr/>
        </xdr:nvSpPr>
        <xdr:spPr bwMode="auto">
          <a:xfrm>
            <a:off x="3762375" y="5124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3_Click">
        <xdr:nvCxnSpPr>
          <xdr:cNvPr id="2805" name="W002C"/>
          <xdr:cNvCxnSpPr>
            <a:stCxn id="2803" idx="3"/>
            <a:endCxn id="2804" idx="1"/>
          </xdr:cNvCxnSpPr>
        </xdr:nvCxnSpPr>
        <xdr:spPr bwMode="auto">
          <a:xfrm>
            <a:off x="2619375" y="51816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3_Click" textlink="">
        <xdr:nvSpPr>
          <xdr:cNvPr id="2806" name="W002T"/>
          <xdr:cNvSpPr txBox="1"/>
        </xdr:nvSpPr>
        <xdr:spPr>
          <a:xfrm>
            <a:off x="2619375" y="5025082"/>
            <a:ext cx="89434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13.// Store Recipes</a:t>
            </a:r>
          </a:p>
        </xdr:txBody>
      </xdr:sp>
    </xdr:grpSp>
    <xdr:clientData/>
  </xdr:twoCellAnchor>
  <xdr:twoCellAnchor>
    <xdr:from>
      <xdr:col>1</xdr:col>
      <xdr:colOff>1209675</xdr:colOff>
      <xdr:row>16</xdr:row>
      <xdr:rowOff>167332</xdr:rowOff>
    </xdr:from>
    <xdr:to>
      <xdr:col>3</xdr:col>
      <xdr:colOff>66675</xdr:colOff>
      <xdr:row>17</xdr:row>
      <xdr:rowOff>57150</xdr:rowOff>
    </xdr:to>
    <xdr:grpSp>
      <xdr:nvGrpSpPr>
        <xdr:cNvPr id="2452" name="R002"/>
        <xdr:cNvGrpSpPr/>
      </xdr:nvGrpSpPr>
      <xdr:grpSpPr>
        <a:xfrm>
          <a:off x="2483644" y="5310832"/>
          <a:ext cx="1404937" cy="211287"/>
          <a:chOff x="2486025" y="5348932"/>
          <a:chExt cx="1409700" cy="213668"/>
        </a:xfrm>
      </xdr:grpSpPr>
      <xdr:sp macro="Mov014_Click" textlink="">
        <xdr:nvSpPr>
          <xdr:cNvPr id="2808" name="R002L"/>
          <xdr:cNvSpPr/>
        </xdr:nvSpPr>
        <xdr:spPr bwMode="auto">
          <a:xfrm>
            <a:off x="3762375" y="54483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4_Click" textlink="">
        <xdr:nvSpPr>
          <xdr:cNvPr id="2809" name="R002R"/>
          <xdr:cNvSpPr/>
        </xdr:nvSpPr>
        <xdr:spPr bwMode="auto">
          <a:xfrm>
            <a:off x="2486025" y="5448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4_Click">
        <xdr:nvCxnSpPr>
          <xdr:cNvPr id="2810" name="R002C"/>
          <xdr:cNvCxnSpPr>
            <a:stCxn id="2808" idx="1"/>
            <a:endCxn id="2809" idx="3"/>
          </xdr:cNvCxnSpPr>
        </xdr:nvCxnSpPr>
        <xdr:spPr bwMode="auto">
          <a:xfrm flipH="1">
            <a:off x="2619375" y="55054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4_Click" textlink="">
        <xdr:nvSpPr>
          <xdr:cNvPr id="2451" name="R002T"/>
          <xdr:cNvSpPr txBox="1"/>
        </xdr:nvSpPr>
        <xdr:spPr>
          <a:xfrm>
            <a:off x="2768834" y="5348932"/>
            <a:ext cx="99360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14.// Browse Recipes</a:t>
            </a:r>
          </a:p>
        </xdr:txBody>
      </xdr:sp>
    </xdr:grpSp>
    <xdr:clientData/>
  </xdr:twoCellAnchor>
  <xdr:twoCellAnchor>
    <xdr:from>
      <xdr:col>0</xdr:col>
      <xdr:colOff>1209675</xdr:colOff>
      <xdr:row>17</xdr:row>
      <xdr:rowOff>167332</xdr:rowOff>
    </xdr:from>
    <xdr:to>
      <xdr:col>2</xdr:col>
      <xdr:colOff>66675</xdr:colOff>
      <xdr:row>18</xdr:row>
      <xdr:rowOff>57150</xdr:rowOff>
    </xdr:to>
    <xdr:grpSp>
      <xdr:nvGrpSpPr>
        <xdr:cNvPr id="2457" name="X005"/>
        <xdr:cNvGrpSpPr/>
      </xdr:nvGrpSpPr>
      <xdr:grpSpPr>
        <a:xfrm>
          <a:off x="1209675" y="5632301"/>
          <a:ext cx="1404938" cy="211287"/>
          <a:chOff x="1209675" y="5672782"/>
          <a:chExt cx="1409700" cy="213668"/>
        </a:xfrm>
      </xdr:grpSpPr>
      <xdr:sp macro="Mov015_Click" textlink="">
        <xdr:nvSpPr>
          <xdr:cNvPr id="2453" name="X005L"/>
          <xdr:cNvSpPr/>
        </xdr:nvSpPr>
        <xdr:spPr bwMode="auto">
          <a:xfrm>
            <a:off x="2486025" y="57721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5_Click" textlink="">
        <xdr:nvSpPr>
          <xdr:cNvPr id="2454" name="X005R"/>
          <xdr:cNvSpPr/>
        </xdr:nvSpPr>
        <xdr:spPr bwMode="auto">
          <a:xfrm>
            <a:off x="1209675" y="5772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5_Click">
        <xdr:nvCxnSpPr>
          <xdr:cNvPr id="2455" name="X005C"/>
          <xdr:cNvCxnSpPr>
            <a:stCxn id="2453" idx="1"/>
            <a:endCxn id="2454" idx="3"/>
          </xdr:cNvCxnSpPr>
        </xdr:nvCxnSpPr>
        <xdr:spPr bwMode="auto">
          <a:xfrm flipH="1">
            <a:off x="1343025" y="58293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5_Click" textlink="">
        <xdr:nvSpPr>
          <xdr:cNvPr id="2456" name="X005T"/>
          <xdr:cNvSpPr txBox="1"/>
        </xdr:nvSpPr>
        <xdr:spPr>
          <a:xfrm>
            <a:off x="1580072" y="5672782"/>
            <a:ext cx="90601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15.// Show Recipes</a:t>
            </a:r>
          </a:p>
        </xdr:txBody>
      </xdr:sp>
    </xdr:grpSp>
    <xdr:clientData/>
  </xdr:twoCellAnchor>
  <xdr:twoCellAnchor>
    <xdr:from>
      <xdr:col>0</xdr:col>
      <xdr:colOff>1209675</xdr:colOff>
      <xdr:row>18</xdr:row>
      <xdr:rowOff>167332</xdr:rowOff>
    </xdr:from>
    <xdr:to>
      <xdr:col>5</xdr:col>
      <xdr:colOff>66675</xdr:colOff>
      <xdr:row>19</xdr:row>
      <xdr:rowOff>57150</xdr:rowOff>
    </xdr:to>
    <xdr:grpSp>
      <xdr:nvGrpSpPr>
        <xdr:cNvPr id="2462" name="E007"/>
        <xdr:cNvGrpSpPr/>
      </xdr:nvGrpSpPr>
      <xdr:grpSpPr>
        <a:xfrm>
          <a:off x="1209675" y="5953770"/>
          <a:ext cx="5226844" cy="211286"/>
          <a:chOff x="1209675" y="5996632"/>
          <a:chExt cx="5238750" cy="213668"/>
        </a:xfrm>
      </xdr:grpSpPr>
      <xdr:sp macro="Mov016_Click" textlink="">
        <xdr:nvSpPr>
          <xdr:cNvPr id="2458" name="E007L"/>
          <xdr:cNvSpPr/>
        </xdr:nvSpPr>
        <xdr:spPr bwMode="auto">
          <a:xfrm>
            <a:off x="1209675" y="60960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6_Click" textlink="">
        <xdr:nvSpPr>
          <xdr:cNvPr id="2459" name="E007R"/>
          <xdr:cNvSpPr/>
        </xdr:nvSpPr>
        <xdr:spPr bwMode="auto">
          <a:xfrm>
            <a:off x="6315075" y="6096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6_Click">
        <xdr:nvCxnSpPr>
          <xdr:cNvPr id="2460" name="E007C"/>
          <xdr:cNvCxnSpPr>
            <a:stCxn id="2458" idx="3"/>
            <a:endCxn id="2459" idx="1"/>
          </xdr:cNvCxnSpPr>
        </xdr:nvCxnSpPr>
        <xdr:spPr bwMode="auto">
          <a:xfrm>
            <a:off x="1343025" y="615315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6_Click" textlink="">
        <xdr:nvSpPr>
          <xdr:cNvPr id="2461" name="E007T"/>
          <xdr:cNvSpPr txBox="1"/>
        </xdr:nvSpPr>
        <xdr:spPr>
          <a:xfrm>
            <a:off x="1343025" y="5996632"/>
            <a:ext cx="98796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16.// Search for Food</a:t>
            </a:r>
          </a:p>
        </xdr:txBody>
      </xdr:sp>
    </xdr:grpSp>
    <xdr:clientData/>
  </xdr:twoCellAnchor>
  <xdr:twoCellAnchor>
    <xdr:from>
      <xdr:col>0</xdr:col>
      <xdr:colOff>80718</xdr:colOff>
      <xdr:row>15</xdr:row>
      <xdr:rowOff>238125</xdr:rowOff>
    </xdr:from>
    <xdr:to>
      <xdr:col>0</xdr:col>
      <xdr:colOff>541581</xdr:colOff>
      <xdr:row>17</xdr:row>
      <xdr:rowOff>305835</xdr:rowOff>
    </xdr:to>
    <xdr:grpSp>
      <xdr:nvGrpSpPr>
        <xdr:cNvPr id="2465" name="T03"/>
        <xdr:cNvGrpSpPr/>
      </xdr:nvGrpSpPr>
      <xdr:grpSpPr>
        <a:xfrm>
          <a:off x="80718" y="5060156"/>
          <a:ext cx="460863" cy="710648"/>
          <a:chOff x="80718" y="5095875"/>
          <a:chExt cx="460863" cy="715410"/>
        </a:xfrm>
      </xdr:grpSpPr>
      <xdr:sp macro="Trg016_Click" textlink="">
        <xdr:nvSpPr>
          <xdr:cNvPr id="2463" name="T03S"/>
          <xdr:cNvSpPr/>
        </xdr:nvSpPr>
        <xdr:spPr bwMode="auto">
          <a:xfrm>
            <a:off x="85725" y="50958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16_Click" textlink="">
        <xdr:nvSpPr>
          <xdr:cNvPr id="2464" name="T03T"/>
          <xdr:cNvSpPr txBox="1"/>
        </xdr:nvSpPr>
        <xdr:spPr>
          <a:xfrm>
            <a:off x="80718" y="55467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Food</a:t>
            </a:r>
          </a:p>
        </xdr:txBody>
      </xdr:sp>
    </xdr:grpSp>
    <xdr:clientData/>
  </xdr:twoCellAnchor>
  <xdr:twoCellAnchor>
    <xdr:from>
      <xdr:col>0</xdr:col>
      <xdr:colOff>311150</xdr:colOff>
      <xdr:row>17</xdr:row>
      <xdr:rowOff>305834</xdr:rowOff>
    </xdr:from>
    <xdr:to>
      <xdr:col>0</xdr:col>
      <xdr:colOff>1209675</xdr:colOff>
      <xdr:row>18</xdr:row>
      <xdr:rowOff>323849</xdr:rowOff>
    </xdr:to>
    <xdr:cxnSp macro="">
      <xdr:nvCxnSpPr>
        <xdr:cNvPr id="2466" name="T03C"/>
        <xdr:cNvCxnSpPr>
          <a:stCxn id="2464" idx="2"/>
          <a:endCxn id="2458" idx="1"/>
        </xdr:cNvCxnSpPr>
      </xdr:nvCxnSpPr>
      <xdr:spPr bwMode="auto">
        <a:xfrm rot="16200000" flipH="1">
          <a:off x="589480" y="553295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1209675</xdr:colOff>
      <xdr:row>19</xdr:row>
      <xdr:rowOff>167332</xdr:rowOff>
    </xdr:from>
    <xdr:to>
      <xdr:col>6</xdr:col>
      <xdr:colOff>66675</xdr:colOff>
      <xdr:row>20</xdr:row>
      <xdr:rowOff>57150</xdr:rowOff>
    </xdr:to>
    <xdr:grpSp>
      <xdr:nvGrpSpPr>
        <xdr:cNvPr id="2471" name="W003"/>
        <xdr:cNvGrpSpPr/>
      </xdr:nvGrpSpPr>
      <xdr:grpSpPr>
        <a:xfrm>
          <a:off x="6305550" y="6275238"/>
          <a:ext cx="1404938" cy="211287"/>
          <a:chOff x="6315075" y="6320482"/>
          <a:chExt cx="1409700" cy="213668"/>
        </a:xfrm>
      </xdr:grpSpPr>
      <xdr:sp macro="Mov017_Click" textlink="">
        <xdr:nvSpPr>
          <xdr:cNvPr id="2467" name="W003L"/>
          <xdr:cNvSpPr/>
        </xdr:nvSpPr>
        <xdr:spPr bwMode="auto">
          <a:xfrm>
            <a:off x="6315075" y="64198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7_Click" textlink="">
        <xdr:nvSpPr>
          <xdr:cNvPr id="2468" name="W003R"/>
          <xdr:cNvSpPr/>
        </xdr:nvSpPr>
        <xdr:spPr bwMode="auto">
          <a:xfrm>
            <a:off x="7591425" y="6419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7_Click">
        <xdr:nvCxnSpPr>
          <xdr:cNvPr id="2469" name="W003C"/>
          <xdr:cNvCxnSpPr>
            <a:stCxn id="2467" idx="3"/>
            <a:endCxn id="2468" idx="1"/>
          </xdr:cNvCxnSpPr>
        </xdr:nvCxnSpPr>
        <xdr:spPr bwMode="auto">
          <a:xfrm>
            <a:off x="6448425" y="64770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7_Click" textlink="">
        <xdr:nvSpPr>
          <xdr:cNvPr id="2470" name="W003T"/>
          <xdr:cNvSpPr txBox="1"/>
        </xdr:nvSpPr>
        <xdr:spPr>
          <a:xfrm>
            <a:off x="6448425" y="6320482"/>
            <a:ext cx="112235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17.// Search for Food ID</a:t>
            </a:r>
          </a:p>
        </xdr:txBody>
      </xdr:sp>
    </xdr:grpSp>
    <xdr:clientData/>
  </xdr:twoCellAnchor>
  <xdr:twoCellAnchor>
    <xdr:from>
      <xdr:col>4</xdr:col>
      <xdr:colOff>1209675</xdr:colOff>
      <xdr:row>20</xdr:row>
      <xdr:rowOff>167332</xdr:rowOff>
    </xdr:from>
    <xdr:to>
      <xdr:col>6</xdr:col>
      <xdr:colOff>66675</xdr:colOff>
      <xdr:row>21</xdr:row>
      <xdr:rowOff>57150</xdr:rowOff>
    </xdr:to>
    <xdr:grpSp>
      <xdr:nvGrpSpPr>
        <xdr:cNvPr id="2476" name="R003"/>
        <xdr:cNvGrpSpPr/>
      </xdr:nvGrpSpPr>
      <xdr:grpSpPr>
        <a:xfrm>
          <a:off x="6305550" y="6596707"/>
          <a:ext cx="1404938" cy="211287"/>
          <a:chOff x="6315075" y="6644332"/>
          <a:chExt cx="1409700" cy="213668"/>
        </a:xfrm>
      </xdr:grpSpPr>
      <xdr:sp macro="Mov018_Click" textlink="">
        <xdr:nvSpPr>
          <xdr:cNvPr id="2472" name="R003L"/>
          <xdr:cNvSpPr/>
        </xdr:nvSpPr>
        <xdr:spPr bwMode="auto">
          <a:xfrm>
            <a:off x="7591425" y="67437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8_Click" textlink="">
        <xdr:nvSpPr>
          <xdr:cNvPr id="2473" name="R003R"/>
          <xdr:cNvSpPr/>
        </xdr:nvSpPr>
        <xdr:spPr bwMode="auto">
          <a:xfrm>
            <a:off x="6315075" y="6743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8_Click">
        <xdr:nvCxnSpPr>
          <xdr:cNvPr id="2474" name="R003C"/>
          <xdr:cNvCxnSpPr>
            <a:stCxn id="2472" idx="1"/>
            <a:endCxn id="2473" idx="3"/>
          </xdr:cNvCxnSpPr>
        </xdr:nvCxnSpPr>
        <xdr:spPr bwMode="auto">
          <a:xfrm flipH="1">
            <a:off x="6448425" y="68008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8_Click" textlink="">
        <xdr:nvSpPr>
          <xdr:cNvPr id="2475" name="R003T"/>
          <xdr:cNvSpPr txBox="1"/>
        </xdr:nvSpPr>
        <xdr:spPr>
          <a:xfrm>
            <a:off x="6667903" y="6644332"/>
            <a:ext cx="92358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18.// Food ID Match</a:t>
            </a:r>
          </a:p>
        </xdr:txBody>
      </xdr:sp>
    </xdr:grpSp>
    <xdr:clientData/>
  </xdr:twoCellAnchor>
  <xdr:twoCellAnchor>
    <xdr:from>
      <xdr:col>3</xdr:col>
      <xdr:colOff>1209675</xdr:colOff>
      <xdr:row>21</xdr:row>
      <xdr:rowOff>167332</xdr:rowOff>
    </xdr:from>
    <xdr:to>
      <xdr:col>5</xdr:col>
      <xdr:colOff>66675</xdr:colOff>
      <xdr:row>22</xdr:row>
      <xdr:rowOff>57150</xdr:rowOff>
    </xdr:to>
    <xdr:grpSp>
      <xdr:nvGrpSpPr>
        <xdr:cNvPr id="2481" name="E008"/>
        <xdr:cNvGrpSpPr/>
      </xdr:nvGrpSpPr>
      <xdr:grpSpPr>
        <a:xfrm>
          <a:off x="5031581" y="6918176"/>
          <a:ext cx="1404938" cy="211287"/>
          <a:chOff x="5038725" y="6968182"/>
          <a:chExt cx="1409700" cy="213668"/>
        </a:xfrm>
      </xdr:grpSpPr>
      <xdr:sp macro="Mov019_Click" textlink="">
        <xdr:nvSpPr>
          <xdr:cNvPr id="2477" name="E008L"/>
          <xdr:cNvSpPr/>
        </xdr:nvSpPr>
        <xdr:spPr bwMode="auto">
          <a:xfrm>
            <a:off x="5038725" y="70675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9_Click" textlink="">
        <xdr:nvSpPr>
          <xdr:cNvPr id="2478" name="E008R"/>
          <xdr:cNvSpPr/>
        </xdr:nvSpPr>
        <xdr:spPr bwMode="auto">
          <a:xfrm>
            <a:off x="6315075" y="7067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9_Click">
        <xdr:nvCxnSpPr>
          <xdr:cNvPr id="2479" name="E008C"/>
          <xdr:cNvCxnSpPr>
            <a:stCxn id="2477" idx="3"/>
            <a:endCxn id="2478" idx="1"/>
          </xdr:cNvCxnSpPr>
        </xdr:nvCxnSpPr>
        <xdr:spPr bwMode="auto">
          <a:xfrm>
            <a:off x="5172075" y="71247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9_Click" textlink="">
        <xdr:nvSpPr>
          <xdr:cNvPr id="2480" name="E008T"/>
          <xdr:cNvSpPr txBox="1"/>
        </xdr:nvSpPr>
        <xdr:spPr>
          <a:xfrm>
            <a:off x="5172075" y="6968182"/>
            <a:ext cx="84189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19.// Identify Food</a:t>
            </a:r>
          </a:p>
        </xdr:txBody>
      </xdr:sp>
    </xdr:grpSp>
    <xdr:clientData/>
  </xdr:twoCellAnchor>
  <xdr:twoCellAnchor>
    <xdr:from>
      <xdr:col>4</xdr:col>
      <xdr:colOff>1209675</xdr:colOff>
      <xdr:row>22</xdr:row>
      <xdr:rowOff>167332</xdr:rowOff>
    </xdr:from>
    <xdr:to>
      <xdr:col>6</xdr:col>
      <xdr:colOff>66675</xdr:colOff>
      <xdr:row>23</xdr:row>
      <xdr:rowOff>57150</xdr:rowOff>
    </xdr:to>
    <xdr:grpSp>
      <xdr:nvGrpSpPr>
        <xdr:cNvPr id="2486" name="W004"/>
        <xdr:cNvGrpSpPr/>
      </xdr:nvGrpSpPr>
      <xdr:grpSpPr>
        <a:xfrm>
          <a:off x="6305550" y="7239645"/>
          <a:ext cx="1404938" cy="211286"/>
          <a:chOff x="6315075" y="7292032"/>
          <a:chExt cx="1409700" cy="213668"/>
        </a:xfrm>
      </xdr:grpSpPr>
      <xdr:sp macro="Mov020_Click" textlink="">
        <xdr:nvSpPr>
          <xdr:cNvPr id="2482" name="W004L"/>
          <xdr:cNvSpPr/>
        </xdr:nvSpPr>
        <xdr:spPr bwMode="auto">
          <a:xfrm>
            <a:off x="6315075" y="73914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0_Click" textlink="">
        <xdr:nvSpPr>
          <xdr:cNvPr id="2483" name="W004R"/>
          <xdr:cNvSpPr/>
        </xdr:nvSpPr>
        <xdr:spPr bwMode="auto">
          <a:xfrm>
            <a:off x="7591425" y="7391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0_Click">
        <xdr:nvCxnSpPr>
          <xdr:cNvPr id="2484" name="W004C"/>
          <xdr:cNvCxnSpPr>
            <a:stCxn id="2482" idx="3"/>
            <a:endCxn id="2483" idx="1"/>
          </xdr:cNvCxnSpPr>
        </xdr:nvCxnSpPr>
        <xdr:spPr bwMode="auto">
          <a:xfrm>
            <a:off x="6448425" y="74485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0_Click" textlink="">
        <xdr:nvSpPr>
          <xdr:cNvPr id="2485" name="W004T"/>
          <xdr:cNvSpPr txBox="1"/>
        </xdr:nvSpPr>
        <xdr:spPr>
          <a:xfrm>
            <a:off x="6448425" y="7292032"/>
            <a:ext cx="75418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20.// Store Food</a:t>
            </a:r>
          </a:p>
        </xdr:txBody>
      </xdr:sp>
    </xdr:grpSp>
    <xdr:clientData/>
  </xdr:twoCellAnchor>
  <xdr:twoCellAnchor>
    <xdr:from>
      <xdr:col>0</xdr:col>
      <xdr:colOff>1209675</xdr:colOff>
      <xdr:row>23</xdr:row>
      <xdr:rowOff>167332</xdr:rowOff>
    </xdr:from>
    <xdr:to>
      <xdr:col>5</xdr:col>
      <xdr:colOff>66675</xdr:colOff>
      <xdr:row>24</xdr:row>
      <xdr:rowOff>57150</xdr:rowOff>
    </xdr:to>
    <xdr:grpSp>
      <xdr:nvGrpSpPr>
        <xdr:cNvPr id="2491" name="X006"/>
        <xdr:cNvGrpSpPr/>
      </xdr:nvGrpSpPr>
      <xdr:grpSpPr>
        <a:xfrm>
          <a:off x="1209675" y="7561113"/>
          <a:ext cx="5226844" cy="211287"/>
          <a:chOff x="1209675" y="7615882"/>
          <a:chExt cx="5238750" cy="213668"/>
        </a:xfrm>
      </xdr:grpSpPr>
      <xdr:sp macro="Mov021_Click" textlink="">
        <xdr:nvSpPr>
          <xdr:cNvPr id="2487" name="X006L"/>
          <xdr:cNvSpPr/>
        </xdr:nvSpPr>
        <xdr:spPr bwMode="auto">
          <a:xfrm>
            <a:off x="6315075" y="77152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1_Click" textlink="">
        <xdr:nvSpPr>
          <xdr:cNvPr id="2488" name="X006R"/>
          <xdr:cNvSpPr/>
        </xdr:nvSpPr>
        <xdr:spPr bwMode="auto">
          <a:xfrm>
            <a:off x="1209675" y="7715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1_Click">
        <xdr:nvCxnSpPr>
          <xdr:cNvPr id="2489" name="X006C"/>
          <xdr:cNvCxnSpPr>
            <a:stCxn id="2487" idx="1"/>
            <a:endCxn id="2488" idx="3"/>
          </xdr:cNvCxnSpPr>
        </xdr:nvCxnSpPr>
        <xdr:spPr bwMode="auto">
          <a:xfrm flipH="1">
            <a:off x="1343025" y="77724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1_Click" textlink="">
        <xdr:nvSpPr>
          <xdr:cNvPr id="2490" name="X006T"/>
          <xdr:cNvSpPr txBox="1"/>
        </xdr:nvSpPr>
        <xdr:spPr>
          <a:xfrm>
            <a:off x="5707152" y="7615882"/>
            <a:ext cx="60798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21.// Food ID</a:t>
            </a:r>
          </a:p>
        </xdr:txBody>
      </xdr:sp>
    </xdr:grpSp>
    <xdr:clientData/>
  </xdr:twoCellAnchor>
  <xdr:twoCellAnchor>
    <xdr:from>
      <xdr:col>0</xdr:col>
      <xdr:colOff>1209675</xdr:colOff>
      <xdr:row>24</xdr:row>
      <xdr:rowOff>167332</xdr:rowOff>
    </xdr:from>
    <xdr:to>
      <xdr:col>5</xdr:col>
      <xdr:colOff>66675</xdr:colOff>
      <xdr:row>25</xdr:row>
      <xdr:rowOff>57150</xdr:rowOff>
    </xdr:to>
    <xdr:grpSp>
      <xdr:nvGrpSpPr>
        <xdr:cNvPr id="3328" name="E009"/>
        <xdr:cNvGrpSpPr/>
      </xdr:nvGrpSpPr>
      <xdr:grpSpPr>
        <a:xfrm>
          <a:off x="1209675" y="7882582"/>
          <a:ext cx="5226844" cy="211287"/>
          <a:chOff x="1209675" y="7939732"/>
          <a:chExt cx="5238750" cy="213668"/>
        </a:xfrm>
      </xdr:grpSpPr>
      <xdr:sp macro="Mov022_Click" textlink="">
        <xdr:nvSpPr>
          <xdr:cNvPr id="2492" name="E009L"/>
          <xdr:cNvSpPr/>
        </xdr:nvSpPr>
        <xdr:spPr bwMode="auto">
          <a:xfrm>
            <a:off x="1209675" y="80391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2_Click" textlink="">
        <xdr:nvSpPr>
          <xdr:cNvPr id="2493" name="E009R"/>
          <xdr:cNvSpPr/>
        </xdr:nvSpPr>
        <xdr:spPr bwMode="auto">
          <a:xfrm>
            <a:off x="6315075" y="8039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2_Click">
        <xdr:nvCxnSpPr>
          <xdr:cNvPr id="2494" name="E009C"/>
          <xdr:cNvCxnSpPr>
            <a:stCxn id="2492" idx="3"/>
            <a:endCxn id="2493" idx="1"/>
          </xdr:cNvCxnSpPr>
        </xdr:nvCxnSpPr>
        <xdr:spPr bwMode="auto">
          <a:xfrm>
            <a:off x="1343025" y="809625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2_Click" textlink="">
        <xdr:nvSpPr>
          <xdr:cNvPr id="2495" name="E009T"/>
          <xdr:cNvSpPr txBox="1"/>
        </xdr:nvSpPr>
        <xdr:spPr>
          <a:xfrm>
            <a:off x="1343025" y="7939732"/>
            <a:ext cx="88280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22.// Manage Food</a:t>
            </a:r>
          </a:p>
        </xdr:txBody>
      </xdr:sp>
    </xdr:grpSp>
    <xdr:clientData/>
  </xdr:twoCellAnchor>
  <xdr:twoCellAnchor>
    <xdr:from>
      <xdr:col>0</xdr:col>
      <xdr:colOff>80718</xdr:colOff>
      <xdr:row>21</xdr:row>
      <xdr:rowOff>238125</xdr:rowOff>
    </xdr:from>
    <xdr:to>
      <xdr:col>0</xdr:col>
      <xdr:colOff>541581</xdr:colOff>
      <xdr:row>23</xdr:row>
      <xdr:rowOff>305835</xdr:rowOff>
    </xdr:to>
    <xdr:grpSp>
      <xdr:nvGrpSpPr>
        <xdr:cNvPr id="3331" name="T04"/>
        <xdr:cNvGrpSpPr/>
      </xdr:nvGrpSpPr>
      <xdr:grpSpPr>
        <a:xfrm>
          <a:off x="80718" y="6988969"/>
          <a:ext cx="460863" cy="710647"/>
          <a:chOff x="80718" y="7038975"/>
          <a:chExt cx="460863" cy="715410"/>
        </a:xfrm>
      </xdr:grpSpPr>
      <xdr:sp macro="Trg022_Click" textlink="">
        <xdr:nvSpPr>
          <xdr:cNvPr id="3329" name="T04S"/>
          <xdr:cNvSpPr/>
        </xdr:nvSpPr>
        <xdr:spPr bwMode="auto">
          <a:xfrm>
            <a:off x="85725" y="70389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22_Click" textlink="">
        <xdr:nvSpPr>
          <xdr:cNvPr id="3330" name="T04T"/>
          <xdr:cNvSpPr txBox="1"/>
        </xdr:nvSpPr>
        <xdr:spPr>
          <a:xfrm>
            <a:off x="80718" y="74898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Manage</a:t>
            </a:r>
          </a:p>
        </xdr:txBody>
      </xdr:sp>
    </xdr:grpSp>
    <xdr:clientData/>
  </xdr:twoCellAnchor>
  <xdr:twoCellAnchor>
    <xdr:from>
      <xdr:col>0</xdr:col>
      <xdr:colOff>311150</xdr:colOff>
      <xdr:row>23</xdr:row>
      <xdr:rowOff>305834</xdr:rowOff>
    </xdr:from>
    <xdr:to>
      <xdr:col>0</xdr:col>
      <xdr:colOff>1209675</xdr:colOff>
      <xdr:row>24</xdr:row>
      <xdr:rowOff>323849</xdr:rowOff>
    </xdr:to>
    <xdr:cxnSp macro="">
      <xdr:nvCxnSpPr>
        <xdr:cNvPr id="3332" name="T04C"/>
        <xdr:cNvCxnSpPr>
          <a:stCxn id="3330" idx="2"/>
          <a:endCxn id="2492" idx="1"/>
        </xdr:cNvCxnSpPr>
      </xdr:nvCxnSpPr>
      <xdr:spPr bwMode="auto">
        <a:xfrm rot="16200000" flipH="1">
          <a:off x="589480" y="747605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1209675</xdr:colOff>
      <xdr:row>25</xdr:row>
      <xdr:rowOff>167332</xdr:rowOff>
    </xdr:from>
    <xdr:to>
      <xdr:col>6</xdr:col>
      <xdr:colOff>66675</xdr:colOff>
      <xdr:row>26</xdr:row>
      <xdr:rowOff>57150</xdr:rowOff>
    </xdr:to>
    <xdr:grpSp>
      <xdr:nvGrpSpPr>
        <xdr:cNvPr id="3337" name="W005"/>
        <xdr:cNvGrpSpPr/>
      </xdr:nvGrpSpPr>
      <xdr:grpSpPr>
        <a:xfrm>
          <a:off x="6305550" y="8204051"/>
          <a:ext cx="1404938" cy="211287"/>
          <a:chOff x="6315075" y="8263582"/>
          <a:chExt cx="1409700" cy="213668"/>
        </a:xfrm>
      </xdr:grpSpPr>
      <xdr:sp macro="Mov023_Click" textlink="">
        <xdr:nvSpPr>
          <xdr:cNvPr id="3333" name="W005L"/>
          <xdr:cNvSpPr/>
        </xdr:nvSpPr>
        <xdr:spPr bwMode="auto">
          <a:xfrm>
            <a:off x="6315075" y="83629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3_Click" textlink="">
        <xdr:nvSpPr>
          <xdr:cNvPr id="3334" name="W005R"/>
          <xdr:cNvSpPr/>
        </xdr:nvSpPr>
        <xdr:spPr bwMode="auto">
          <a:xfrm>
            <a:off x="7591425" y="8362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3_Click">
        <xdr:nvCxnSpPr>
          <xdr:cNvPr id="3335" name="W005C"/>
          <xdr:cNvCxnSpPr>
            <a:stCxn id="3333" idx="3"/>
            <a:endCxn id="3334" idx="1"/>
          </xdr:cNvCxnSpPr>
        </xdr:nvCxnSpPr>
        <xdr:spPr bwMode="auto">
          <a:xfrm>
            <a:off x="6448425" y="84201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3_Click" textlink="">
        <xdr:nvSpPr>
          <xdr:cNvPr id="3336" name="W005T"/>
          <xdr:cNvSpPr txBox="1"/>
        </xdr:nvSpPr>
        <xdr:spPr>
          <a:xfrm>
            <a:off x="6448425" y="8263582"/>
            <a:ext cx="95872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23.// Store Attributes</a:t>
            </a:r>
          </a:p>
        </xdr:txBody>
      </xdr:sp>
    </xdr:grpSp>
    <xdr:clientData/>
  </xdr:twoCellAnchor>
  <xdr:twoCellAnchor>
    <xdr:from>
      <xdr:col>4</xdr:col>
      <xdr:colOff>1209675</xdr:colOff>
      <xdr:row>26</xdr:row>
      <xdr:rowOff>167332</xdr:rowOff>
    </xdr:from>
    <xdr:to>
      <xdr:col>6</xdr:col>
      <xdr:colOff>66675</xdr:colOff>
      <xdr:row>27</xdr:row>
      <xdr:rowOff>57150</xdr:rowOff>
    </xdr:to>
    <xdr:grpSp>
      <xdr:nvGrpSpPr>
        <xdr:cNvPr id="3342" name="R004"/>
        <xdr:cNvGrpSpPr/>
      </xdr:nvGrpSpPr>
      <xdr:grpSpPr>
        <a:xfrm>
          <a:off x="6305550" y="8525520"/>
          <a:ext cx="1404938" cy="211286"/>
          <a:chOff x="6315075" y="8587432"/>
          <a:chExt cx="1409700" cy="213668"/>
        </a:xfrm>
      </xdr:grpSpPr>
      <xdr:sp macro="Mov024_Click" textlink="">
        <xdr:nvSpPr>
          <xdr:cNvPr id="3338" name="R004L"/>
          <xdr:cNvSpPr/>
        </xdr:nvSpPr>
        <xdr:spPr bwMode="auto">
          <a:xfrm>
            <a:off x="7591425" y="86868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4_Click" textlink="">
        <xdr:nvSpPr>
          <xdr:cNvPr id="3339" name="R004R"/>
          <xdr:cNvSpPr/>
        </xdr:nvSpPr>
        <xdr:spPr bwMode="auto">
          <a:xfrm>
            <a:off x="6315075" y="8686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4_Click">
        <xdr:nvCxnSpPr>
          <xdr:cNvPr id="3340" name="R004C"/>
          <xdr:cNvCxnSpPr>
            <a:stCxn id="3338" idx="1"/>
            <a:endCxn id="3339" idx="3"/>
          </xdr:cNvCxnSpPr>
        </xdr:nvCxnSpPr>
        <xdr:spPr bwMode="auto">
          <a:xfrm flipH="1">
            <a:off x="6448425" y="87439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4_Click" textlink="">
        <xdr:nvSpPr>
          <xdr:cNvPr id="3341" name="R004T"/>
          <xdr:cNvSpPr txBox="1"/>
        </xdr:nvSpPr>
        <xdr:spPr>
          <a:xfrm>
            <a:off x="6621095" y="8587432"/>
            <a:ext cx="9703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24.// Show Attributes</a:t>
            </a:r>
          </a:p>
        </xdr:txBody>
      </xdr:sp>
    </xdr:grpSp>
    <xdr:clientData/>
  </xdr:twoCellAnchor>
  <xdr:twoCellAnchor>
    <xdr:from>
      <xdr:col>0</xdr:col>
      <xdr:colOff>1209675</xdr:colOff>
      <xdr:row>27</xdr:row>
      <xdr:rowOff>167332</xdr:rowOff>
    </xdr:from>
    <xdr:to>
      <xdr:col>5</xdr:col>
      <xdr:colOff>66675</xdr:colOff>
      <xdr:row>28</xdr:row>
      <xdr:rowOff>57150</xdr:rowOff>
    </xdr:to>
    <xdr:grpSp>
      <xdr:nvGrpSpPr>
        <xdr:cNvPr id="3091" name="X007"/>
        <xdr:cNvGrpSpPr/>
      </xdr:nvGrpSpPr>
      <xdr:grpSpPr>
        <a:xfrm>
          <a:off x="1209675" y="8846988"/>
          <a:ext cx="5226844" cy="211287"/>
          <a:chOff x="1209675" y="8911282"/>
          <a:chExt cx="5238750" cy="213668"/>
        </a:xfrm>
      </xdr:grpSpPr>
      <xdr:sp macro="Mov025_Click" textlink="">
        <xdr:nvSpPr>
          <xdr:cNvPr id="3343" name="X007L"/>
          <xdr:cNvSpPr/>
        </xdr:nvSpPr>
        <xdr:spPr bwMode="auto">
          <a:xfrm>
            <a:off x="6315075" y="90106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5_Click" textlink="">
        <xdr:nvSpPr>
          <xdr:cNvPr id="3344" name="X007R"/>
          <xdr:cNvSpPr/>
        </xdr:nvSpPr>
        <xdr:spPr bwMode="auto">
          <a:xfrm>
            <a:off x="1209675" y="9010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5_Click">
        <xdr:nvCxnSpPr>
          <xdr:cNvPr id="3345" name="X007C"/>
          <xdr:cNvCxnSpPr>
            <a:stCxn id="3343" idx="1"/>
            <a:endCxn id="3344" idx="3"/>
          </xdr:cNvCxnSpPr>
        </xdr:nvCxnSpPr>
        <xdr:spPr bwMode="auto">
          <a:xfrm flipH="1">
            <a:off x="1343025" y="90678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5_Click" textlink="">
        <xdr:nvSpPr>
          <xdr:cNvPr id="3346" name="X007T"/>
          <xdr:cNvSpPr txBox="1"/>
        </xdr:nvSpPr>
        <xdr:spPr>
          <a:xfrm>
            <a:off x="5344745" y="8911282"/>
            <a:ext cx="9703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25.// Show Attributes</a:t>
            </a:r>
          </a:p>
        </xdr:txBody>
      </xdr:sp>
    </xdr:grpSp>
    <xdr:clientData/>
  </xdr:twoCellAnchor>
  <xdr:twoCellAnchor>
    <xdr:from>
      <xdr:col>0</xdr:col>
      <xdr:colOff>1209675</xdr:colOff>
      <xdr:row>28</xdr:row>
      <xdr:rowOff>167332</xdr:rowOff>
    </xdr:from>
    <xdr:to>
      <xdr:col>8</xdr:col>
      <xdr:colOff>66675</xdr:colOff>
      <xdr:row>29</xdr:row>
      <xdr:rowOff>57150</xdr:rowOff>
    </xdr:to>
    <xdr:grpSp>
      <xdr:nvGrpSpPr>
        <xdr:cNvPr id="3096" name="E010"/>
        <xdr:cNvGrpSpPr/>
      </xdr:nvGrpSpPr>
      <xdr:grpSpPr>
        <a:xfrm>
          <a:off x="1209675" y="9168457"/>
          <a:ext cx="9048750" cy="211287"/>
          <a:chOff x="1209675" y="9235132"/>
          <a:chExt cx="9067800" cy="213668"/>
        </a:xfrm>
      </xdr:grpSpPr>
      <xdr:sp macro="Mov026_Click" textlink="">
        <xdr:nvSpPr>
          <xdr:cNvPr id="3092" name="E010L"/>
          <xdr:cNvSpPr/>
        </xdr:nvSpPr>
        <xdr:spPr bwMode="auto">
          <a:xfrm>
            <a:off x="1209675" y="93345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6_Click" textlink="">
        <xdr:nvSpPr>
          <xdr:cNvPr id="3093" name="E010R"/>
          <xdr:cNvSpPr/>
        </xdr:nvSpPr>
        <xdr:spPr bwMode="auto">
          <a:xfrm>
            <a:off x="10144125" y="9334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6_Click">
        <xdr:nvCxnSpPr>
          <xdr:cNvPr id="3094" name="E010C"/>
          <xdr:cNvCxnSpPr>
            <a:stCxn id="3092" idx="3"/>
            <a:endCxn id="3093" idx="1"/>
          </xdr:cNvCxnSpPr>
        </xdr:nvCxnSpPr>
        <xdr:spPr bwMode="auto">
          <a:xfrm>
            <a:off x="1343025" y="93916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6_Click" textlink="">
        <xdr:nvSpPr>
          <xdr:cNvPr id="3095" name="E010T"/>
          <xdr:cNvSpPr txBox="1"/>
        </xdr:nvSpPr>
        <xdr:spPr>
          <a:xfrm>
            <a:off x="1343025" y="9235132"/>
            <a:ext cx="12920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26.// Request Shopping List</a:t>
            </a:r>
          </a:p>
        </xdr:txBody>
      </xdr:sp>
    </xdr:grpSp>
    <xdr:clientData/>
  </xdr:twoCellAnchor>
  <xdr:twoCellAnchor>
    <xdr:from>
      <xdr:col>7</xdr:col>
      <xdr:colOff>1209675</xdr:colOff>
      <xdr:row>29</xdr:row>
      <xdr:rowOff>167332</xdr:rowOff>
    </xdr:from>
    <xdr:to>
      <xdr:col>9</xdr:col>
      <xdr:colOff>66675</xdr:colOff>
      <xdr:row>30</xdr:row>
      <xdr:rowOff>57150</xdr:rowOff>
    </xdr:to>
    <xdr:grpSp>
      <xdr:nvGrpSpPr>
        <xdr:cNvPr id="3101" name="R005"/>
        <xdr:cNvGrpSpPr/>
      </xdr:nvGrpSpPr>
      <xdr:grpSpPr>
        <a:xfrm>
          <a:off x="10127456" y="9489926"/>
          <a:ext cx="1404938" cy="211287"/>
          <a:chOff x="10144125" y="9558982"/>
          <a:chExt cx="1409700" cy="213668"/>
        </a:xfrm>
      </xdr:grpSpPr>
      <xdr:sp macro="Mov027_Click" textlink="">
        <xdr:nvSpPr>
          <xdr:cNvPr id="3097" name="R005L"/>
          <xdr:cNvSpPr/>
        </xdr:nvSpPr>
        <xdr:spPr bwMode="auto">
          <a:xfrm>
            <a:off x="11420475" y="96583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7_Click" textlink="">
        <xdr:nvSpPr>
          <xdr:cNvPr id="3098" name="R005R"/>
          <xdr:cNvSpPr/>
        </xdr:nvSpPr>
        <xdr:spPr bwMode="auto">
          <a:xfrm>
            <a:off x="10144125" y="9658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7_Click">
        <xdr:nvCxnSpPr>
          <xdr:cNvPr id="3099" name="R005C"/>
          <xdr:cNvCxnSpPr>
            <a:stCxn id="3097" idx="1"/>
            <a:endCxn id="3098" idx="3"/>
          </xdr:cNvCxnSpPr>
        </xdr:nvCxnSpPr>
        <xdr:spPr bwMode="auto">
          <a:xfrm flipH="1">
            <a:off x="10277475" y="9715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7_Click" textlink="">
        <xdr:nvSpPr>
          <xdr:cNvPr id="3100" name="R005T"/>
          <xdr:cNvSpPr txBox="1"/>
        </xdr:nvSpPr>
        <xdr:spPr>
          <a:xfrm>
            <a:off x="10485155" y="9558982"/>
            <a:ext cx="93538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27.// Food Inventory</a:t>
            </a:r>
          </a:p>
        </xdr:txBody>
      </xdr:sp>
    </xdr:grpSp>
    <xdr:clientData/>
  </xdr:twoCellAnchor>
  <xdr:twoCellAnchor>
    <xdr:from>
      <xdr:col>2</xdr:col>
      <xdr:colOff>1209675</xdr:colOff>
      <xdr:row>30</xdr:row>
      <xdr:rowOff>167332</xdr:rowOff>
    </xdr:from>
    <xdr:to>
      <xdr:col>8</xdr:col>
      <xdr:colOff>66675</xdr:colOff>
      <xdr:row>31</xdr:row>
      <xdr:rowOff>57150</xdr:rowOff>
    </xdr:to>
    <xdr:grpSp>
      <xdr:nvGrpSpPr>
        <xdr:cNvPr id="3106" name="R006"/>
        <xdr:cNvGrpSpPr/>
      </xdr:nvGrpSpPr>
      <xdr:grpSpPr>
        <a:xfrm>
          <a:off x="3757613" y="9811395"/>
          <a:ext cx="6500812" cy="211286"/>
          <a:chOff x="3762375" y="9882832"/>
          <a:chExt cx="6515100" cy="213668"/>
        </a:xfrm>
      </xdr:grpSpPr>
      <xdr:sp macro="Mov028_Click" textlink="">
        <xdr:nvSpPr>
          <xdr:cNvPr id="3102" name="R006L"/>
          <xdr:cNvSpPr/>
        </xdr:nvSpPr>
        <xdr:spPr bwMode="auto">
          <a:xfrm>
            <a:off x="3762375" y="99822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8_Click" textlink="">
        <xdr:nvSpPr>
          <xdr:cNvPr id="3103" name="R006R"/>
          <xdr:cNvSpPr/>
        </xdr:nvSpPr>
        <xdr:spPr bwMode="auto">
          <a:xfrm>
            <a:off x="10144125" y="9982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8_Click">
        <xdr:nvCxnSpPr>
          <xdr:cNvPr id="3104" name="R006C"/>
          <xdr:cNvCxnSpPr>
            <a:stCxn id="3102" idx="3"/>
            <a:endCxn id="3103" idx="1"/>
          </xdr:cNvCxnSpPr>
        </xdr:nvCxnSpPr>
        <xdr:spPr bwMode="auto">
          <a:xfrm>
            <a:off x="3895725" y="10039350"/>
            <a:ext cx="62484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8_Click" textlink="">
        <xdr:nvSpPr>
          <xdr:cNvPr id="3105" name="R006T"/>
          <xdr:cNvSpPr txBox="1"/>
        </xdr:nvSpPr>
        <xdr:spPr>
          <a:xfrm>
            <a:off x="3895725" y="9882832"/>
            <a:ext cx="14555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28.// Recipe Food Components</a:t>
            </a:r>
          </a:p>
        </xdr:txBody>
      </xdr:sp>
    </xdr:grpSp>
    <xdr:clientData/>
  </xdr:twoCellAnchor>
  <xdr:twoCellAnchor>
    <xdr:from>
      <xdr:col>0</xdr:col>
      <xdr:colOff>1209675</xdr:colOff>
      <xdr:row>31</xdr:row>
      <xdr:rowOff>167332</xdr:rowOff>
    </xdr:from>
    <xdr:to>
      <xdr:col>8</xdr:col>
      <xdr:colOff>66675</xdr:colOff>
      <xdr:row>32</xdr:row>
      <xdr:rowOff>57150</xdr:rowOff>
    </xdr:to>
    <xdr:grpSp>
      <xdr:nvGrpSpPr>
        <xdr:cNvPr id="3111" name="X008"/>
        <xdr:cNvGrpSpPr/>
      </xdr:nvGrpSpPr>
      <xdr:grpSpPr>
        <a:xfrm>
          <a:off x="1209675" y="10132863"/>
          <a:ext cx="9048750" cy="211287"/>
          <a:chOff x="1209675" y="10206682"/>
          <a:chExt cx="9067800" cy="213668"/>
        </a:xfrm>
      </xdr:grpSpPr>
      <xdr:sp macro="Mov029_Click" textlink="">
        <xdr:nvSpPr>
          <xdr:cNvPr id="3107" name="X008L"/>
          <xdr:cNvSpPr/>
        </xdr:nvSpPr>
        <xdr:spPr bwMode="auto">
          <a:xfrm>
            <a:off x="10144125" y="103060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9_Click" textlink="">
        <xdr:nvSpPr>
          <xdr:cNvPr id="3108" name="X008R"/>
          <xdr:cNvSpPr/>
        </xdr:nvSpPr>
        <xdr:spPr bwMode="auto">
          <a:xfrm>
            <a:off x="1209675" y="10306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9_Click">
        <xdr:nvCxnSpPr>
          <xdr:cNvPr id="3109" name="X008C"/>
          <xdr:cNvCxnSpPr>
            <a:stCxn id="3107" idx="1"/>
            <a:endCxn id="3108" idx="3"/>
          </xdr:cNvCxnSpPr>
        </xdr:nvCxnSpPr>
        <xdr:spPr bwMode="auto">
          <a:xfrm flipH="1">
            <a:off x="1343025" y="103632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9_Click" textlink="">
        <xdr:nvSpPr>
          <xdr:cNvPr id="3110" name="X008T"/>
          <xdr:cNvSpPr txBox="1"/>
        </xdr:nvSpPr>
        <xdr:spPr>
          <a:xfrm>
            <a:off x="8992463" y="10206682"/>
            <a:ext cx="11517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29.// Issue Shopping List</a:t>
            </a:r>
          </a:p>
        </xdr:txBody>
      </xdr:sp>
    </xdr:grpSp>
    <xdr:clientData/>
  </xdr:twoCellAnchor>
  <xdr:twoCellAnchor>
    <xdr:from>
      <xdr:col>6</xdr:col>
      <xdr:colOff>1209675</xdr:colOff>
      <xdr:row>32</xdr:row>
      <xdr:rowOff>167332</xdr:rowOff>
    </xdr:from>
    <xdr:to>
      <xdr:col>8</xdr:col>
      <xdr:colOff>66675</xdr:colOff>
      <xdr:row>33</xdr:row>
      <xdr:rowOff>57150</xdr:rowOff>
    </xdr:to>
    <xdr:grpSp>
      <xdr:nvGrpSpPr>
        <xdr:cNvPr id="3116" name="E011"/>
        <xdr:cNvGrpSpPr/>
      </xdr:nvGrpSpPr>
      <xdr:grpSpPr>
        <a:xfrm>
          <a:off x="8853488" y="10454332"/>
          <a:ext cx="1404937" cy="211287"/>
          <a:chOff x="8867775" y="10530532"/>
          <a:chExt cx="1409700" cy="213668"/>
        </a:xfrm>
      </xdr:grpSpPr>
      <xdr:sp macro="Mov030_Click" textlink="">
        <xdr:nvSpPr>
          <xdr:cNvPr id="3112" name="E011L"/>
          <xdr:cNvSpPr/>
        </xdr:nvSpPr>
        <xdr:spPr bwMode="auto">
          <a:xfrm>
            <a:off x="8867775" y="1062990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0_Click" textlink="">
        <xdr:nvSpPr>
          <xdr:cNvPr id="3113" name="E011R"/>
          <xdr:cNvSpPr/>
        </xdr:nvSpPr>
        <xdr:spPr bwMode="auto">
          <a:xfrm>
            <a:off x="10144125" y="10629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0_Click">
        <xdr:nvCxnSpPr>
          <xdr:cNvPr id="3114" name="E011C"/>
          <xdr:cNvCxnSpPr>
            <a:stCxn id="3112" idx="3"/>
            <a:endCxn id="3113" idx="1"/>
          </xdr:cNvCxnSpPr>
        </xdr:nvCxnSpPr>
        <xdr:spPr bwMode="auto">
          <a:xfrm>
            <a:off x="9001125" y="106870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0_Click" textlink="">
        <xdr:nvSpPr>
          <xdr:cNvPr id="3115" name="E011T"/>
          <xdr:cNvSpPr txBox="1"/>
        </xdr:nvSpPr>
        <xdr:spPr>
          <a:xfrm>
            <a:off x="9001125" y="10530532"/>
            <a:ext cx="104644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30.// Record Shopping</a:t>
            </a:r>
          </a:p>
        </xdr:txBody>
      </xdr:sp>
    </xdr:grpSp>
    <xdr:clientData/>
  </xdr:twoCellAnchor>
  <xdr:twoCellAnchor>
    <xdr:from>
      <xdr:col>0</xdr:col>
      <xdr:colOff>80718</xdr:colOff>
      <xdr:row>29</xdr:row>
      <xdr:rowOff>238125</xdr:rowOff>
    </xdr:from>
    <xdr:to>
      <xdr:col>0</xdr:col>
      <xdr:colOff>541581</xdr:colOff>
      <xdr:row>31</xdr:row>
      <xdr:rowOff>305835</xdr:rowOff>
    </xdr:to>
    <xdr:grpSp>
      <xdr:nvGrpSpPr>
        <xdr:cNvPr id="3119" name="T05"/>
        <xdr:cNvGrpSpPr/>
      </xdr:nvGrpSpPr>
      <xdr:grpSpPr>
        <a:xfrm>
          <a:off x="80718" y="9560719"/>
          <a:ext cx="460863" cy="710647"/>
          <a:chOff x="80718" y="9629775"/>
          <a:chExt cx="460863" cy="715410"/>
        </a:xfrm>
      </xdr:grpSpPr>
      <xdr:sp macro="Trg030_Click" textlink="">
        <xdr:nvSpPr>
          <xdr:cNvPr id="3117" name="T05S"/>
          <xdr:cNvSpPr/>
        </xdr:nvSpPr>
        <xdr:spPr bwMode="auto">
          <a:xfrm>
            <a:off x="85725" y="96297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30_Click" textlink="">
        <xdr:nvSpPr>
          <xdr:cNvPr id="3118" name="T05T"/>
          <xdr:cNvSpPr txBox="1"/>
        </xdr:nvSpPr>
        <xdr:spPr>
          <a:xfrm>
            <a:off x="80718" y="100806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Shopping</a:t>
            </a:r>
          </a:p>
        </xdr:txBody>
      </xdr:sp>
    </xdr:grpSp>
    <xdr:clientData/>
  </xdr:twoCellAnchor>
  <xdr:twoCellAnchor>
    <xdr:from>
      <xdr:col>0</xdr:col>
      <xdr:colOff>311150</xdr:colOff>
      <xdr:row>31</xdr:row>
      <xdr:rowOff>305834</xdr:rowOff>
    </xdr:from>
    <xdr:to>
      <xdr:col>6</xdr:col>
      <xdr:colOff>1209675</xdr:colOff>
      <xdr:row>32</xdr:row>
      <xdr:rowOff>323849</xdr:rowOff>
    </xdr:to>
    <xdr:cxnSp macro="">
      <xdr:nvCxnSpPr>
        <xdr:cNvPr id="3120" name="T05C"/>
        <xdr:cNvCxnSpPr>
          <a:stCxn id="3118" idx="2"/>
          <a:endCxn id="3112" idx="1"/>
        </xdr:cNvCxnSpPr>
      </xdr:nvCxnSpPr>
      <xdr:spPr bwMode="auto">
        <a:xfrm rot="16200000" flipH="1">
          <a:off x="4418530" y="6237804"/>
          <a:ext cx="341865" cy="85566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0</xdr:col>
      <xdr:colOff>1209675</xdr:colOff>
      <xdr:row>33</xdr:row>
      <xdr:rowOff>167332</xdr:rowOff>
    </xdr:from>
    <xdr:to>
      <xdr:col>8</xdr:col>
      <xdr:colOff>66675</xdr:colOff>
      <xdr:row>34</xdr:row>
      <xdr:rowOff>57150</xdr:rowOff>
    </xdr:to>
    <xdr:grpSp>
      <xdr:nvGrpSpPr>
        <xdr:cNvPr id="3125" name="E012"/>
        <xdr:cNvGrpSpPr/>
      </xdr:nvGrpSpPr>
      <xdr:grpSpPr>
        <a:xfrm>
          <a:off x="1209675" y="10775801"/>
          <a:ext cx="9048750" cy="211287"/>
          <a:chOff x="1209675" y="10854382"/>
          <a:chExt cx="9067800" cy="213668"/>
        </a:xfrm>
      </xdr:grpSpPr>
      <xdr:sp macro="Mov031_Click" textlink="">
        <xdr:nvSpPr>
          <xdr:cNvPr id="3121" name="E012L"/>
          <xdr:cNvSpPr/>
        </xdr:nvSpPr>
        <xdr:spPr bwMode="auto">
          <a:xfrm>
            <a:off x="1209675" y="109537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1_Click" textlink="">
        <xdr:nvSpPr>
          <xdr:cNvPr id="3122" name="E012R"/>
          <xdr:cNvSpPr/>
        </xdr:nvSpPr>
        <xdr:spPr bwMode="auto">
          <a:xfrm>
            <a:off x="10144125" y="10953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1_Click">
        <xdr:nvCxnSpPr>
          <xdr:cNvPr id="3123" name="E012C"/>
          <xdr:cNvCxnSpPr>
            <a:stCxn id="3121" idx="3"/>
            <a:endCxn id="3122" idx="1"/>
          </xdr:cNvCxnSpPr>
        </xdr:nvCxnSpPr>
        <xdr:spPr bwMode="auto">
          <a:xfrm>
            <a:off x="1343025" y="110109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1_Click" textlink="">
        <xdr:nvSpPr>
          <xdr:cNvPr id="3124" name="E012T"/>
          <xdr:cNvSpPr txBox="1"/>
        </xdr:nvSpPr>
        <xdr:spPr>
          <a:xfrm>
            <a:off x="1343025" y="10854382"/>
            <a:ext cx="85343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31.// Manual Entry</a:t>
            </a:r>
          </a:p>
        </xdr:txBody>
      </xdr:sp>
    </xdr:grpSp>
    <xdr:clientData/>
  </xdr:twoCellAnchor>
  <xdr:twoCellAnchor>
    <xdr:from>
      <xdr:col>7</xdr:col>
      <xdr:colOff>1209675</xdr:colOff>
      <xdr:row>34</xdr:row>
      <xdr:rowOff>167332</xdr:rowOff>
    </xdr:from>
    <xdr:to>
      <xdr:col>9</xdr:col>
      <xdr:colOff>66675</xdr:colOff>
      <xdr:row>35</xdr:row>
      <xdr:rowOff>57150</xdr:rowOff>
    </xdr:to>
    <xdr:grpSp>
      <xdr:nvGrpSpPr>
        <xdr:cNvPr id="3130" name="W006"/>
        <xdr:cNvGrpSpPr/>
      </xdr:nvGrpSpPr>
      <xdr:grpSpPr>
        <a:xfrm>
          <a:off x="10127456" y="11097270"/>
          <a:ext cx="1404938" cy="211286"/>
          <a:chOff x="10144125" y="11178232"/>
          <a:chExt cx="1409700" cy="213668"/>
        </a:xfrm>
      </xdr:grpSpPr>
      <xdr:sp macro="Mov032_Click" textlink="">
        <xdr:nvSpPr>
          <xdr:cNvPr id="3126" name="W006L"/>
          <xdr:cNvSpPr/>
        </xdr:nvSpPr>
        <xdr:spPr bwMode="auto">
          <a:xfrm>
            <a:off x="10144125" y="112776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2_Click" textlink="">
        <xdr:nvSpPr>
          <xdr:cNvPr id="3127" name="W006R"/>
          <xdr:cNvSpPr/>
        </xdr:nvSpPr>
        <xdr:spPr bwMode="auto">
          <a:xfrm>
            <a:off x="11420475" y="11277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2_Click">
        <xdr:nvCxnSpPr>
          <xdr:cNvPr id="3128" name="W006C"/>
          <xdr:cNvCxnSpPr>
            <a:stCxn id="3126" idx="3"/>
            <a:endCxn id="3127" idx="1"/>
          </xdr:cNvCxnSpPr>
        </xdr:nvCxnSpPr>
        <xdr:spPr bwMode="auto">
          <a:xfrm>
            <a:off x="10277475" y="113347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2_Click" textlink="">
        <xdr:nvSpPr>
          <xdr:cNvPr id="3129" name="W006T"/>
          <xdr:cNvSpPr txBox="1"/>
        </xdr:nvSpPr>
        <xdr:spPr>
          <a:xfrm>
            <a:off x="10277475" y="11178232"/>
            <a:ext cx="95885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32.// Store Shopping</a:t>
            </a:r>
          </a:p>
        </xdr:txBody>
      </xdr:sp>
    </xdr:grpSp>
    <xdr:clientData/>
  </xdr:twoCellAnchor>
  <xdr:twoCellAnchor>
    <xdr:from>
      <xdr:col>7</xdr:col>
      <xdr:colOff>1209675</xdr:colOff>
      <xdr:row>35</xdr:row>
      <xdr:rowOff>167332</xdr:rowOff>
    </xdr:from>
    <xdr:to>
      <xdr:col>9</xdr:col>
      <xdr:colOff>66675</xdr:colOff>
      <xdr:row>36</xdr:row>
      <xdr:rowOff>57150</xdr:rowOff>
    </xdr:to>
    <xdr:grpSp>
      <xdr:nvGrpSpPr>
        <xdr:cNvPr id="3135" name="R007"/>
        <xdr:cNvGrpSpPr/>
      </xdr:nvGrpSpPr>
      <xdr:grpSpPr>
        <a:xfrm>
          <a:off x="10127456" y="11418738"/>
          <a:ext cx="1404938" cy="211287"/>
          <a:chOff x="10144125" y="11502082"/>
          <a:chExt cx="1409700" cy="213668"/>
        </a:xfrm>
      </xdr:grpSpPr>
      <xdr:sp macro="Mov033_Click" textlink="">
        <xdr:nvSpPr>
          <xdr:cNvPr id="3131" name="R007L"/>
          <xdr:cNvSpPr/>
        </xdr:nvSpPr>
        <xdr:spPr bwMode="auto">
          <a:xfrm>
            <a:off x="11420475" y="116014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3_Click" textlink="">
        <xdr:nvSpPr>
          <xdr:cNvPr id="3132" name="R007R"/>
          <xdr:cNvSpPr/>
        </xdr:nvSpPr>
        <xdr:spPr bwMode="auto">
          <a:xfrm>
            <a:off x="10144125" y="11601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3_Click">
        <xdr:nvCxnSpPr>
          <xdr:cNvPr id="3133" name="R007C"/>
          <xdr:cNvCxnSpPr>
            <a:stCxn id="3131" idx="1"/>
            <a:endCxn id="3132" idx="3"/>
          </xdr:cNvCxnSpPr>
        </xdr:nvCxnSpPr>
        <xdr:spPr bwMode="auto">
          <a:xfrm flipH="1">
            <a:off x="10277475" y="116586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3_Click" textlink="">
        <xdr:nvSpPr>
          <xdr:cNvPr id="3134" name="R007T"/>
          <xdr:cNvSpPr txBox="1"/>
        </xdr:nvSpPr>
        <xdr:spPr>
          <a:xfrm>
            <a:off x="10561201" y="11502082"/>
            <a:ext cx="85933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33.// List Inventory</a:t>
            </a:r>
          </a:p>
        </xdr:txBody>
      </xdr:sp>
    </xdr:grpSp>
    <xdr:clientData/>
  </xdr:twoCellAnchor>
  <xdr:twoCellAnchor>
    <xdr:from>
      <xdr:col>0</xdr:col>
      <xdr:colOff>1209675</xdr:colOff>
      <xdr:row>36</xdr:row>
      <xdr:rowOff>167332</xdr:rowOff>
    </xdr:from>
    <xdr:to>
      <xdr:col>8</xdr:col>
      <xdr:colOff>66675</xdr:colOff>
      <xdr:row>37</xdr:row>
      <xdr:rowOff>57150</xdr:rowOff>
    </xdr:to>
    <xdr:grpSp>
      <xdr:nvGrpSpPr>
        <xdr:cNvPr id="3652" name="X009"/>
        <xdr:cNvGrpSpPr/>
      </xdr:nvGrpSpPr>
      <xdr:grpSpPr>
        <a:xfrm>
          <a:off x="1209675" y="11740207"/>
          <a:ext cx="9048750" cy="211287"/>
          <a:chOff x="1209675" y="11825932"/>
          <a:chExt cx="9067800" cy="213668"/>
        </a:xfrm>
      </xdr:grpSpPr>
      <xdr:sp macro="Mov034_Click" textlink="">
        <xdr:nvSpPr>
          <xdr:cNvPr id="3648" name="X009L"/>
          <xdr:cNvSpPr/>
        </xdr:nvSpPr>
        <xdr:spPr bwMode="auto">
          <a:xfrm>
            <a:off x="10144125" y="119253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4_Click" textlink="">
        <xdr:nvSpPr>
          <xdr:cNvPr id="3649" name="X009R"/>
          <xdr:cNvSpPr/>
        </xdr:nvSpPr>
        <xdr:spPr bwMode="auto">
          <a:xfrm>
            <a:off x="1209675" y="11925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4_Click">
        <xdr:nvCxnSpPr>
          <xdr:cNvPr id="3650" name="X009C"/>
          <xdr:cNvCxnSpPr>
            <a:stCxn id="3648" idx="1"/>
            <a:endCxn id="3649" idx="3"/>
          </xdr:cNvCxnSpPr>
        </xdr:nvCxnSpPr>
        <xdr:spPr bwMode="auto">
          <a:xfrm flipH="1">
            <a:off x="1343025" y="119824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4_Click" textlink="">
        <xdr:nvSpPr>
          <xdr:cNvPr id="3651" name="X009T"/>
          <xdr:cNvSpPr txBox="1"/>
        </xdr:nvSpPr>
        <xdr:spPr>
          <a:xfrm>
            <a:off x="9185465" y="11825932"/>
            <a:ext cx="95872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34.// Show Inventory</a:t>
            </a:r>
          </a:p>
        </xdr:txBody>
      </xdr:sp>
    </xdr:grpSp>
    <xdr:clientData/>
  </xdr:twoCellAnchor>
  <xdr:twoCellAnchor>
    <xdr:from>
      <xdr:col>7</xdr:col>
      <xdr:colOff>1209675</xdr:colOff>
      <xdr:row>37</xdr:row>
      <xdr:rowOff>167332</xdr:rowOff>
    </xdr:from>
    <xdr:to>
      <xdr:col>9</xdr:col>
      <xdr:colOff>66675</xdr:colOff>
      <xdr:row>38</xdr:row>
      <xdr:rowOff>57150</xdr:rowOff>
    </xdr:to>
    <xdr:grpSp>
      <xdr:nvGrpSpPr>
        <xdr:cNvPr id="3657" name="R008"/>
        <xdr:cNvGrpSpPr/>
      </xdr:nvGrpSpPr>
      <xdr:grpSpPr>
        <a:xfrm>
          <a:off x="10127456" y="12061676"/>
          <a:ext cx="1404938" cy="211287"/>
          <a:chOff x="10144125" y="12149782"/>
          <a:chExt cx="1409700" cy="213668"/>
        </a:xfrm>
      </xdr:grpSpPr>
      <xdr:sp macro="Mov035_Click" textlink="">
        <xdr:nvSpPr>
          <xdr:cNvPr id="3653" name="R008L"/>
          <xdr:cNvSpPr/>
        </xdr:nvSpPr>
        <xdr:spPr bwMode="auto">
          <a:xfrm>
            <a:off x="11420475" y="122491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5_Click" textlink="">
        <xdr:nvSpPr>
          <xdr:cNvPr id="3654" name="R008R"/>
          <xdr:cNvSpPr/>
        </xdr:nvSpPr>
        <xdr:spPr bwMode="auto">
          <a:xfrm>
            <a:off x="10144125" y="12249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5_Click">
        <xdr:nvCxnSpPr>
          <xdr:cNvPr id="3655" name="R008C"/>
          <xdr:cNvCxnSpPr>
            <a:stCxn id="3653" idx="1"/>
            <a:endCxn id="3654" idx="3"/>
          </xdr:cNvCxnSpPr>
        </xdr:nvCxnSpPr>
        <xdr:spPr bwMode="auto">
          <a:xfrm flipH="1">
            <a:off x="10277475" y="123063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5_Click" textlink="">
        <xdr:nvSpPr>
          <xdr:cNvPr id="3656" name="R008T"/>
          <xdr:cNvSpPr txBox="1"/>
        </xdr:nvSpPr>
        <xdr:spPr>
          <a:xfrm>
            <a:off x="10771643" y="12149782"/>
            <a:ext cx="64889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35.// Expired?</a:t>
            </a:r>
          </a:p>
        </xdr:txBody>
      </xdr:sp>
    </xdr:grpSp>
    <xdr:clientData/>
  </xdr:twoCellAnchor>
  <xdr:twoCellAnchor>
    <xdr:from>
      <xdr:col>5</xdr:col>
      <xdr:colOff>1209675</xdr:colOff>
      <xdr:row>38</xdr:row>
      <xdr:rowOff>167332</xdr:rowOff>
    </xdr:from>
    <xdr:to>
      <xdr:col>8</xdr:col>
      <xdr:colOff>66675</xdr:colOff>
      <xdr:row>39</xdr:row>
      <xdr:rowOff>57150</xdr:rowOff>
    </xdr:to>
    <xdr:grpSp>
      <xdr:nvGrpSpPr>
        <xdr:cNvPr id="3662" name="R009"/>
        <xdr:cNvGrpSpPr/>
      </xdr:nvGrpSpPr>
      <xdr:grpSpPr>
        <a:xfrm>
          <a:off x="7579519" y="12383145"/>
          <a:ext cx="2678906" cy="211286"/>
          <a:chOff x="7591425" y="12473632"/>
          <a:chExt cx="2686050" cy="213668"/>
        </a:xfrm>
      </xdr:grpSpPr>
      <xdr:sp macro="Mov036_Click" textlink="">
        <xdr:nvSpPr>
          <xdr:cNvPr id="3658" name="R009L"/>
          <xdr:cNvSpPr/>
        </xdr:nvSpPr>
        <xdr:spPr bwMode="auto">
          <a:xfrm>
            <a:off x="7591425" y="125730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6_Click" textlink="">
        <xdr:nvSpPr>
          <xdr:cNvPr id="3659" name="R009R"/>
          <xdr:cNvSpPr/>
        </xdr:nvSpPr>
        <xdr:spPr bwMode="auto">
          <a:xfrm>
            <a:off x="10144125" y="12573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6_Click">
        <xdr:nvCxnSpPr>
          <xdr:cNvPr id="3660" name="R009C"/>
          <xdr:cNvCxnSpPr>
            <a:stCxn id="3658" idx="3"/>
            <a:endCxn id="3659" idx="1"/>
          </xdr:cNvCxnSpPr>
        </xdr:nvCxnSpPr>
        <xdr:spPr bwMode="auto">
          <a:xfrm>
            <a:off x="7724775" y="126301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6_Click" textlink="">
        <xdr:nvSpPr>
          <xdr:cNvPr id="3661" name="R009T"/>
          <xdr:cNvSpPr txBox="1"/>
        </xdr:nvSpPr>
        <xdr:spPr>
          <a:xfrm>
            <a:off x="7724775" y="12473632"/>
            <a:ext cx="63722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36.// Shelf life</a:t>
            </a:r>
          </a:p>
        </xdr:txBody>
      </xdr:sp>
    </xdr:grpSp>
    <xdr:clientData/>
  </xdr:twoCellAnchor>
  <xdr:twoCellAnchor>
    <xdr:from>
      <xdr:col>0</xdr:col>
      <xdr:colOff>1209675</xdr:colOff>
      <xdr:row>39</xdr:row>
      <xdr:rowOff>167332</xdr:rowOff>
    </xdr:from>
    <xdr:to>
      <xdr:col>8</xdr:col>
      <xdr:colOff>66675</xdr:colOff>
      <xdr:row>40</xdr:row>
      <xdr:rowOff>57150</xdr:rowOff>
    </xdr:to>
    <xdr:grpSp>
      <xdr:nvGrpSpPr>
        <xdr:cNvPr id="3667" name="E013"/>
        <xdr:cNvGrpSpPr/>
      </xdr:nvGrpSpPr>
      <xdr:grpSpPr>
        <a:xfrm>
          <a:off x="1209675" y="12704613"/>
          <a:ext cx="9048750" cy="211287"/>
          <a:chOff x="1209675" y="12797482"/>
          <a:chExt cx="9067800" cy="213668"/>
        </a:xfrm>
      </xdr:grpSpPr>
      <xdr:sp macro="Mov037_Click" textlink="">
        <xdr:nvSpPr>
          <xdr:cNvPr id="3663" name="E013L"/>
          <xdr:cNvSpPr/>
        </xdr:nvSpPr>
        <xdr:spPr bwMode="auto">
          <a:xfrm>
            <a:off x="1209675" y="128968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7_Click" textlink="">
        <xdr:nvSpPr>
          <xdr:cNvPr id="3664" name="E013R"/>
          <xdr:cNvSpPr/>
        </xdr:nvSpPr>
        <xdr:spPr bwMode="auto">
          <a:xfrm>
            <a:off x="10144125" y="12896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7_Click">
        <xdr:nvCxnSpPr>
          <xdr:cNvPr id="3665" name="E013C"/>
          <xdr:cNvCxnSpPr>
            <a:stCxn id="3663" idx="3"/>
            <a:endCxn id="3664" idx="1"/>
          </xdr:cNvCxnSpPr>
        </xdr:nvCxnSpPr>
        <xdr:spPr bwMode="auto">
          <a:xfrm>
            <a:off x="1343025" y="129540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7_Click" textlink="">
        <xdr:nvSpPr>
          <xdr:cNvPr id="3666" name="E013T"/>
          <xdr:cNvSpPr txBox="1"/>
        </xdr:nvSpPr>
        <xdr:spPr>
          <a:xfrm>
            <a:off x="1343025" y="12797482"/>
            <a:ext cx="11399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37.// Set Expiration Date</a:t>
            </a:r>
          </a:p>
        </xdr:txBody>
      </xdr:sp>
    </xdr:grpSp>
    <xdr:clientData/>
  </xdr:twoCellAnchor>
  <xdr:twoCellAnchor>
    <xdr:from>
      <xdr:col>7</xdr:col>
      <xdr:colOff>1209675</xdr:colOff>
      <xdr:row>40</xdr:row>
      <xdr:rowOff>167332</xdr:rowOff>
    </xdr:from>
    <xdr:to>
      <xdr:col>9</xdr:col>
      <xdr:colOff>117098</xdr:colOff>
      <xdr:row>41</xdr:row>
      <xdr:rowOff>57150</xdr:rowOff>
    </xdr:to>
    <xdr:grpSp>
      <xdr:nvGrpSpPr>
        <xdr:cNvPr id="3672" name="W007"/>
        <xdr:cNvGrpSpPr/>
      </xdr:nvGrpSpPr>
      <xdr:grpSpPr>
        <a:xfrm>
          <a:off x="10127456" y="13026082"/>
          <a:ext cx="1455361" cy="211287"/>
          <a:chOff x="10144125" y="13121332"/>
          <a:chExt cx="1460123" cy="213668"/>
        </a:xfrm>
      </xdr:grpSpPr>
      <xdr:sp macro="Mov038_Click" textlink="">
        <xdr:nvSpPr>
          <xdr:cNvPr id="3668" name="W007L"/>
          <xdr:cNvSpPr/>
        </xdr:nvSpPr>
        <xdr:spPr bwMode="auto">
          <a:xfrm>
            <a:off x="10144125" y="132207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8_Click" textlink="">
        <xdr:nvSpPr>
          <xdr:cNvPr id="3669" name="W007R"/>
          <xdr:cNvSpPr/>
        </xdr:nvSpPr>
        <xdr:spPr bwMode="auto">
          <a:xfrm>
            <a:off x="11420475" y="13220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8_Click">
        <xdr:nvCxnSpPr>
          <xdr:cNvPr id="3670" name="W007C"/>
          <xdr:cNvCxnSpPr>
            <a:stCxn id="3668" idx="3"/>
            <a:endCxn id="3669" idx="1"/>
          </xdr:cNvCxnSpPr>
        </xdr:nvCxnSpPr>
        <xdr:spPr bwMode="auto">
          <a:xfrm>
            <a:off x="10277475" y="132778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8_Click" textlink="">
        <xdr:nvSpPr>
          <xdr:cNvPr id="3671" name="W007T"/>
          <xdr:cNvSpPr txBox="1"/>
        </xdr:nvSpPr>
        <xdr:spPr>
          <a:xfrm>
            <a:off x="10277475" y="13121332"/>
            <a:ext cx="132677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38.// Remove from Inventory</a:t>
            </a:r>
          </a:p>
        </xdr:txBody>
      </xdr:sp>
    </xdr:grpSp>
    <xdr:clientData/>
  </xdr:twoCellAnchor>
  <xdr:twoCellAnchor>
    <xdr:from>
      <xdr:col>0</xdr:col>
      <xdr:colOff>1209675</xdr:colOff>
      <xdr:row>41</xdr:row>
      <xdr:rowOff>167332</xdr:rowOff>
    </xdr:from>
    <xdr:to>
      <xdr:col>10</xdr:col>
      <xdr:colOff>66675</xdr:colOff>
      <xdr:row>42</xdr:row>
      <xdr:rowOff>57150</xdr:rowOff>
    </xdr:to>
    <xdr:grpSp>
      <xdr:nvGrpSpPr>
        <xdr:cNvPr id="3677" name="E014"/>
        <xdr:cNvGrpSpPr/>
      </xdr:nvGrpSpPr>
      <xdr:grpSpPr>
        <a:xfrm>
          <a:off x="1209675" y="13347551"/>
          <a:ext cx="11596688" cy="211287"/>
          <a:chOff x="1209675" y="13445182"/>
          <a:chExt cx="11620500" cy="213668"/>
        </a:xfrm>
      </xdr:grpSpPr>
      <xdr:sp macro="Mov039_Click" textlink="">
        <xdr:nvSpPr>
          <xdr:cNvPr id="3673" name="E014L"/>
          <xdr:cNvSpPr/>
        </xdr:nvSpPr>
        <xdr:spPr bwMode="auto">
          <a:xfrm>
            <a:off x="1209675" y="135445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9_Click" textlink="">
        <xdr:nvSpPr>
          <xdr:cNvPr id="3674" name="E014R"/>
          <xdr:cNvSpPr/>
        </xdr:nvSpPr>
        <xdr:spPr bwMode="auto">
          <a:xfrm>
            <a:off x="12696825" y="13544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9_Click">
        <xdr:nvCxnSpPr>
          <xdr:cNvPr id="3675" name="E014C"/>
          <xdr:cNvCxnSpPr>
            <a:stCxn id="3673" idx="3"/>
            <a:endCxn id="3674" idx="1"/>
          </xdr:cNvCxnSpPr>
        </xdr:nvCxnSpPr>
        <xdr:spPr bwMode="auto">
          <a:xfrm>
            <a:off x="1343025" y="136017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9_Click" textlink="">
        <xdr:nvSpPr>
          <xdr:cNvPr id="3676" name="E014T"/>
          <xdr:cNvSpPr txBox="1"/>
        </xdr:nvSpPr>
        <xdr:spPr>
          <a:xfrm>
            <a:off x="1343025" y="13445182"/>
            <a:ext cx="88267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39.// Select Recipe</a:t>
            </a:r>
          </a:p>
        </xdr:txBody>
      </xdr:sp>
    </xdr:grpSp>
    <xdr:clientData/>
  </xdr:twoCellAnchor>
  <xdr:twoCellAnchor>
    <xdr:from>
      <xdr:col>0</xdr:col>
      <xdr:colOff>80718</xdr:colOff>
      <xdr:row>38</xdr:row>
      <xdr:rowOff>238125</xdr:rowOff>
    </xdr:from>
    <xdr:to>
      <xdr:col>0</xdr:col>
      <xdr:colOff>541581</xdr:colOff>
      <xdr:row>40</xdr:row>
      <xdr:rowOff>305835</xdr:rowOff>
    </xdr:to>
    <xdr:grpSp>
      <xdr:nvGrpSpPr>
        <xdr:cNvPr id="3680" name="T06"/>
        <xdr:cNvGrpSpPr/>
      </xdr:nvGrpSpPr>
      <xdr:grpSpPr>
        <a:xfrm>
          <a:off x="80718" y="12453938"/>
          <a:ext cx="460863" cy="710647"/>
          <a:chOff x="80718" y="12544425"/>
          <a:chExt cx="460863" cy="715410"/>
        </a:xfrm>
      </xdr:grpSpPr>
      <xdr:sp macro="Trg039_Click" textlink="">
        <xdr:nvSpPr>
          <xdr:cNvPr id="3678" name="T06S"/>
          <xdr:cNvSpPr/>
        </xdr:nvSpPr>
        <xdr:spPr bwMode="auto">
          <a:xfrm>
            <a:off x="85725" y="1254442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39_Click" textlink="">
        <xdr:nvSpPr>
          <xdr:cNvPr id="3679" name="T06T"/>
          <xdr:cNvSpPr txBox="1"/>
        </xdr:nvSpPr>
        <xdr:spPr>
          <a:xfrm>
            <a:off x="80718" y="1299527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Cook</a:t>
            </a:r>
          </a:p>
        </xdr:txBody>
      </xdr:sp>
    </xdr:grpSp>
    <xdr:clientData/>
  </xdr:twoCellAnchor>
  <xdr:twoCellAnchor>
    <xdr:from>
      <xdr:col>0</xdr:col>
      <xdr:colOff>311150</xdr:colOff>
      <xdr:row>40</xdr:row>
      <xdr:rowOff>305834</xdr:rowOff>
    </xdr:from>
    <xdr:to>
      <xdr:col>0</xdr:col>
      <xdr:colOff>1209675</xdr:colOff>
      <xdr:row>41</xdr:row>
      <xdr:rowOff>323849</xdr:rowOff>
    </xdr:to>
    <xdr:cxnSp macro="">
      <xdr:nvCxnSpPr>
        <xdr:cNvPr id="3681" name="T06C"/>
        <xdr:cNvCxnSpPr>
          <a:stCxn id="3679" idx="2"/>
          <a:endCxn id="3673" idx="1"/>
        </xdr:cNvCxnSpPr>
      </xdr:nvCxnSpPr>
      <xdr:spPr bwMode="auto">
        <a:xfrm rot="16200000" flipH="1">
          <a:off x="589480" y="1298150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1209675</xdr:colOff>
      <xdr:row>42</xdr:row>
      <xdr:rowOff>167332</xdr:rowOff>
    </xdr:from>
    <xdr:to>
      <xdr:col>10</xdr:col>
      <xdr:colOff>66675</xdr:colOff>
      <xdr:row>43</xdr:row>
      <xdr:rowOff>57150</xdr:rowOff>
    </xdr:to>
    <xdr:grpSp>
      <xdr:nvGrpSpPr>
        <xdr:cNvPr id="3686" name="R010"/>
        <xdr:cNvGrpSpPr/>
      </xdr:nvGrpSpPr>
      <xdr:grpSpPr>
        <a:xfrm>
          <a:off x="3757613" y="13669020"/>
          <a:ext cx="9048750" cy="211286"/>
          <a:chOff x="3762375" y="13769032"/>
          <a:chExt cx="9067800" cy="213668"/>
        </a:xfrm>
      </xdr:grpSpPr>
      <xdr:sp macro="Mov040_Click" textlink="">
        <xdr:nvSpPr>
          <xdr:cNvPr id="3682" name="R010L"/>
          <xdr:cNvSpPr/>
        </xdr:nvSpPr>
        <xdr:spPr bwMode="auto">
          <a:xfrm>
            <a:off x="3762375" y="138684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0_Click" textlink="">
        <xdr:nvSpPr>
          <xdr:cNvPr id="3683" name="R010R"/>
          <xdr:cNvSpPr/>
        </xdr:nvSpPr>
        <xdr:spPr bwMode="auto">
          <a:xfrm>
            <a:off x="12696825" y="13868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0_Click">
        <xdr:nvCxnSpPr>
          <xdr:cNvPr id="3684" name="R010C"/>
          <xdr:cNvCxnSpPr>
            <a:stCxn id="3682" idx="3"/>
            <a:endCxn id="3683" idx="1"/>
          </xdr:cNvCxnSpPr>
        </xdr:nvCxnSpPr>
        <xdr:spPr bwMode="auto">
          <a:xfrm>
            <a:off x="3895725" y="139255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0_Click" textlink="">
        <xdr:nvSpPr>
          <xdr:cNvPr id="3685" name="R010T"/>
          <xdr:cNvSpPr txBox="1"/>
        </xdr:nvSpPr>
        <xdr:spPr>
          <a:xfrm>
            <a:off x="3895725" y="13769032"/>
            <a:ext cx="75995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40.// Get Recipe</a:t>
            </a:r>
          </a:p>
        </xdr:txBody>
      </xdr:sp>
    </xdr:grpSp>
    <xdr:clientData/>
  </xdr:twoCellAnchor>
  <xdr:twoCellAnchor>
    <xdr:from>
      <xdr:col>5</xdr:col>
      <xdr:colOff>1209675</xdr:colOff>
      <xdr:row>43</xdr:row>
      <xdr:rowOff>167332</xdr:rowOff>
    </xdr:from>
    <xdr:to>
      <xdr:col>10</xdr:col>
      <xdr:colOff>66675</xdr:colOff>
      <xdr:row>44</xdr:row>
      <xdr:rowOff>57150</xdr:rowOff>
    </xdr:to>
    <xdr:grpSp>
      <xdr:nvGrpSpPr>
        <xdr:cNvPr id="3691" name="R011"/>
        <xdr:cNvGrpSpPr/>
      </xdr:nvGrpSpPr>
      <xdr:grpSpPr>
        <a:xfrm>
          <a:off x="7579519" y="13990488"/>
          <a:ext cx="5226844" cy="211287"/>
          <a:chOff x="7591425" y="14092882"/>
          <a:chExt cx="5238750" cy="213668"/>
        </a:xfrm>
      </xdr:grpSpPr>
      <xdr:sp macro="Mov041_Click" textlink="">
        <xdr:nvSpPr>
          <xdr:cNvPr id="3687" name="R011L"/>
          <xdr:cNvSpPr/>
        </xdr:nvSpPr>
        <xdr:spPr bwMode="auto">
          <a:xfrm>
            <a:off x="7591425" y="141922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1_Click" textlink="">
        <xdr:nvSpPr>
          <xdr:cNvPr id="3688" name="R011R"/>
          <xdr:cNvSpPr/>
        </xdr:nvSpPr>
        <xdr:spPr bwMode="auto">
          <a:xfrm>
            <a:off x="12696825" y="14192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1_Click">
        <xdr:nvCxnSpPr>
          <xdr:cNvPr id="3689" name="R011C"/>
          <xdr:cNvCxnSpPr>
            <a:stCxn id="3687" idx="3"/>
            <a:endCxn id="3688" idx="1"/>
          </xdr:cNvCxnSpPr>
        </xdr:nvCxnSpPr>
        <xdr:spPr bwMode="auto">
          <a:xfrm>
            <a:off x="7724775" y="142494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1_Click" textlink="">
        <xdr:nvSpPr>
          <xdr:cNvPr id="3690" name="R011T"/>
          <xdr:cNvSpPr txBox="1"/>
        </xdr:nvSpPr>
        <xdr:spPr>
          <a:xfrm>
            <a:off x="7724775" y="14092882"/>
            <a:ext cx="114582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41.// Get Food Attributes</a:t>
            </a:r>
          </a:p>
        </xdr:txBody>
      </xdr:sp>
    </xdr:grpSp>
    <xdr:clientData/>
  </xdr:twoCellAnchor>
  <xdr:twoCellAnchor>
    <xdr:from>
      <xdr:col>8</xdr:col>
      <xdr:colOff>1209675</xdr:colOff>
      <xdr:row>44</xdr:row>
      <xdr:rowOff>167332</xdr:rowOff>
    </xdr:from>
    <xdr:to>
      <xdr:col>10</xdr:col>
      <xdr:colOff>66675</xdr:colOff>
      <xdr:row>45</xdr:row>
      <xdr:rowOff>57150</xdr:rowOff>
    </xdr:to>
    <xdr:grpSp>
      <xdr:nvGrpSpPr>
        <xdr:cNvPr id="3696" name="R012"/>
        <xdr:cNvGrpSpPr/>
      </xdr:nvGrpSpPr>
      <xdr:grpSpPr>
        <a:xfrm>
          <a:off x="11401425" y="14311957"/>
          <a:ext cx="1404938" cy="211287"/>
          <a:chOff x="11420475" y="14416732"/>
          <a:chExt cx="1409700" cy="213668"/>
        </a:xfrm>
      </xdr:grpSpPr>
      <xdr:sp macro="Mov042_Click" textlink="">
        <xdr:nvSpPr>
          <xdr:cNvPr id="3692" name="R012L"/>
          <xdr:cNvSpPr/>
        </xdr:nvSpPr>
        <xdr:spPr bwMode="auto">
          <a:xfrm>
            <a:off x="11420475" y="145161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2_Click" textlink="">
        <xdr:nvSpPr>
          <xdr:cNvPr id="3693" name="R012R"/>
          <xdr:cNvSpPr/>
        </xdr:nvSpPr>
        <xdr:spPr bwMode="auto">
          <a:xfrm>
            <a:off x="12696825" y="14516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2_Click">
        <xdr:nvCxnSpPr>
          <xdr:cNvPr id="3694" name="R012C"/>
          <xdr:cNvCxnSpPr>
            <a:stCxn id="3692" idx="3"/>
            <a:endCxn id="3693" idx="1"/>
          </xdr:cNvCxnSpPr>
        </xdr:nvCxnSpPr>
        <xdr:spPr bwMode="auto">
          <a:xfrm>
            <a:off x="11553825" y="145732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2_Click" textlink="">
        <xdr:nvSpPr>
          <xdr:cNvPr id="3695" name="R012T"/>
          <xdr:cNvSpPr txBox="1"/>
        </xdr:nvSpPr>
        <xdr:spPr>
          <a:xfrm>
            <a:off x="11553825" y="14416732"/>
            <a:ext cx="99373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42.// Check Inventory</a:t>
            </a:r>
          </a:p>
        </xdr:txBody>
      </xdr:sp>
    </xdr:grpSp>
    <xdr:clientData/>
  </xdr:twoCellAnchor>
  <xdr:twoCellAnchor>
    <xdr:from>
      <xdr:col>0</xdr:col>
      <xdr:colOff>1209675</xdr:colOff>
      <xdr:row>45</xdr:row>
      <xdr:rowOff>167332</xdr:rowOff>
    </xdr:from>
    <xdr:to>
      <xdr:col>10</xdr:col>
      <xdr:colOff>66675</xdr:colOff>
      <xdr:row>46</xdr:row>
      <xdr:rowOff>57150</xdr:rowOff>
    </xdr:to>
    <xdr:grpSp>
      <xdr:nvGrpSpPr>
        <xdr:cNvPr id="3701" name="X010"/>
        <xdr:cNvGrpSpPr/>
      </xdr:nvGrpSpPr>
      <xdr:grpSpPr>
        <a:xfrm>
          <a:off x="1209675" y="14633426"/>
          <a:ext cx="11596688" cy="211287"/>
          <a:chOff x="1209675" y="14740582"/>
          <a:chExt cx="11620500" cy="213668"/>
        </a:xfrm>
      </xdr:grpSpPr>
      <xdr:sp macro="Mov043_Click" textlink="">
        <xdr:nvSpPr>
          <xdr:cNvPr id="3697" name="X010L"/>
          <xdr:cNvSpPr/>
        </xdr:nvSpPr>
        <xdr:spPr bwMode="auto">
          <a:xfrm>
            <a:off x="12696825" y="148399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3_Click" textlink="">
        <xdr:nvSpPr>
          <xdr:cNvPr id="3698" name="X010R"/>
          <xdr:cNvSpPr/>
        </xdr:nvSpPr>
        <xdr:spPr bwMode="auto">
          <a:xfrm>
            <a:off x="1209675" y="14839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3_Click">
        <xdr:nvCxnSpPr>
          <xdr:cNvPr id="3699" name="X010C"/>
          <xdr:cNvCxnSpPr>
            <a:stCxn id="3697" idx="1"/>
            <a:endCxn id="3698" idx="3"/>
          </xdr:cNvCxnSpPr>
        </xdr:nvCxnSpPr>
        <xdr:spPr bwMode="auto">
          <a:xfrm flipH="1">
            <a:off x="1343025" y="148971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3_Click" textlink="">
        <xdr:nvSpPr>
          <xdr:cNvPr id="3700" name="X010T"/>
          <xdr:cNvSpPr txBox="1"/>
        </xdr:nvSpPr>
        <xdr:spPr>
          <a:xfrm>
            <a:off x="11428465" y="14740582"/>
            <a:ext cx="126842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43.// Plan Cooking Process</a:t>
            </a:r>
          </a:p>
        </xdr:txBody>
      </xdr:sp>
    </xdr:grpSp>
    <xdr:clientData/>
  </xdr:twoCellAnchor>
  <xdr:twoCellAnchor>
    <xdr:from>
      <xdr:col>0</xdr:col>
      <xdr:colOff>1209675</xdr:colOff>
      <xdr:row>46</xdr:row>
      <xdr:rowOff>167332</xdr:rowOff>
    </xdr:from>
    <xdr:to>
      <xdr:col>10</xdr:col>
      <xdr:colOff>66675</xdr:colOff>
      <xdr:row>47</xdr:row>
      <xdr:rowOff>57150</xdr:rowOff>
    </xdr:to>
    <xdr:grpSp>
      <xdr:nvGrpSpPr>
        <xdr:cNvPr id="3706" name="E015"/>
        <xdr:cNvGrpSpPr/>
      </xdr:nvGrpSpPr>
      <xdr:grpSpPr>
        <a:xfrm>
          <a:off x="1209675" y="14954895"/>
          <a:ext cx="11596688" cy="211286"/>
          <a:chOff x="1209675" y="15064432"/>
          <a:chExt cx="11620500" cy="213668"/>
        </a:xfrm>
      </xdr:grpSpPr>
      <xdr:sp macro="Mov044_Click" textlink="">
        <xdr:nvSpPr>
          <xdr:cNvPr id="3702" name="E015L"/>
          <xdr:cNvSpPr/>
        </xdr:nvSpPr>
        <xdr:spPr bwMode="auto">
          <a:xfrm>
            <a:off x="1209675" y="151638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4_Click" textlink="">
        <xdr:nvSpPr>
          <xdr:cNvPr id="3703" name="E015R"/>
          <xdr:cNvSpPr/>
        </xdr:nvSpPr>
        <xdr:spPr bwMode="auto">
          <a:xfrm>
            <a:off x="12696825" y="15163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4_Click">
        <xdr:nvCxnSpPr>
          <xdr:cNvPr id="3704" name="E015C"/>
          <xdr:cNvCxnSpPr>
            <a:stCxn id="3702" idx="3"/>
            <a:endCxn id="3703" idx="1"/>
          </xdr:cNvCxnSpPr>
        </xdr:nvCxnSpPr>
        <xdr:spPr bwMode="auto">
          <a:xfrm>
            <a:off x="1343025" y="152209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4_Click" textlink="">
        <xdr:nvSpPr>
          <xdr:cNvPr id="3705" name="E015T"/>
          <xdr:cNvSpPr txBox="1"/>
        </xdr:nvSpPr>
        <xdr:spPr>
          <a:xfrm>
            <a:off x="1343025" y="15064432"/>
            <a:ext cx="143795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44.// Execute Cooking Process</a:t>
            </a:r>
          </a:p>
        </xdr:txBody>
      </xdr:sp>
    </xdr:grpSp>
    <xdr:clientData/>
  </xdr:twoCellAnchor>
  <xdr:twoCellAnchor>
    <xdr:from>
      <xdr:col>0</xdr:col>
      <xdr:colOff>80718</xdr:colOff>
      <xdr:row>43</xdr:row>
      <xdr:rowOff>238125</xdr:rowOff>
    </xdr:from>
    <xdr:to>
      <xdr:col>0</xdr:col>
      <xdr:colOff>541581</xdr:colOff>
      <xdr:row>45</xdr:row>
      <xdr:rowOff>305835</xdr:rowOff>
    </xdr:to>
    <xdr:grpSp>
      <xdr:nvGrpSpPr>
        <xdr:cNvPr id="3709" name="T08"/>
        <xdr:cNvGrpSpPr/>
      </xdr:nvGrpSpPr>
      <xdr:grpSpPr>
        <a:xfrm>
          <a:off x="80718" y="14061281"/>
          <a:ext cx="460863" cy="710648"/>
          <a:chOff x="80718" y="14163675"/>
          <a:chExt cx="460863" cy="715410"/>
        </a:xfrm>
      </xdr:grpSpPr>
      <xdr:sp macro="Trg044_Click" textlink="">
        <xdr:nvSpPr>
          <xdr:cNvPr id="3707" name="T08S"/>
          <xdr:cNvSpPr/>
        </xdr:nvSpPr>
        <xdr:spPr bwMode="auto">
          <a:xfrm>
            <a:off x="85725" y="141636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44_Click" textlink="">
        <xdr:nvSpPr>
          <xdr:cNvPr id="3708" name="T08T"/>
          <xdr:cNvSpPr txBox="1"/>
        </xdr:nvSpPr>
        <xdr:spPr>
          <a:xfrm>
            <a:off x="80718" y="146145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Control</a:t>
            </a:r>
          </a:p>
        </xdr:txBody>
      </xdr:sp>
    </xdr:grpSp>
    <xdr:clientData/>
  </xdr:twoCellAnchor>
  <xdr:twoCellAnchor>
    <xdr:from>
      <xdr:col>0</xdr:col>
      <xdr:colOff>311150</xdr:colOff>
      <xdr:row>45</xdr:row>
      <xdr:rowOff>305834</xdr:rowOff>
    </xdr:from>
    <xdr:to>
      <xdr:col>0</xdr:col>
      <xdr:colOff>1209675</xdr:colOff>
      <xdr:row>46</xdr:row>
      <xdr:rowOff>323849</xdr:rowOff>
    </xdr:to>
    <xdr:cxnSp macro="">
      <xdr:nvCxnSpPr>
        <xdr:cNvPr id="3710" name="T08C"/>
        <xdr:cNvCxnSpPr>
          <a:stCxn id="3708" idx="2"/>
          <a:endCxn id="3702" idx="1"/>
        </xdr:cNvCxnSpPr>
      </xdr:nvCxnSpPr>
      <xdr:spPr bwMode="auto">
        <a:xfrm rot="16200000" flipH="1">
          <a:off x="589480" y="1460075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1209675</xdr:colOff>
      <xdr:row>47</xdr:row>
      <xdr:rowOff>167332</xdr:rowOff>
    </xdr:from>
    <xdr:to>
      <xdr:col>10</xdr:col>
      <xdr:colOff>66675</xdr:colOff>
      <xdr:row>48</xdr:row>
      <xdr:rowOff>57150</xdr:rowOff>
    </xdr:to>
    <xdr:grpSp>
      <xdr:nvGrpSpPr>
        <xdr:cNvPr id="3715" name="W008"/>
        <xdr:cNvGrpSpPr/>
      </xdr:nvGrpSpPr>
      <xdr:grpSpPr>
        <a:xfrm>
          <a:off x="11401425" y="15276363"/>
          <a:ext cx="1404938" cy="211287"/>
          <a:chOff x="11420475" y="15388282"/>
          <a:chExt cx="1409700" cy="213668"/>
        </a:xfrm>
      </xdr:grpSpPr>
      <xdr:sp macro="Mov045_Click" textlink="">
        <xdr:nvSpPr>
          <xdr:cNvPr id="3711" name="W008L"/>
          <xdr:cNvSpPr/>
        </xdr:nvSpPr>
        <xdr:spPr bwMode="auto">
          <a:xfrm>
            <a:off x="12696825" y="154876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5_Click" textlink="">
        <xdr:nvSpPr>
          <xdr:cNvPr id="3712" name="W008R"/>
          <xdr:cNvSpPr/>
        </xdr:nvSpPr>
        <xdr:spPr bwMode="auto">
          <a:xfrm>
            <a:off x="11420475" y="15487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5_Click">
        <xdr:nvCxnSpPr>
          <xdr:cNvPr id="3713" name="W008C"/>
          <xdr:cNvCxnSpPr>
            <a:stCxn id="3711" idx="1"/>
            <a:endCxn id="3712" idx="3"/>
          </xdr:cNvCxnSpPr>
        </xdr:nvCxnSpPr>
        <xdr:spPr bwMode="auto">
          <a:xfrm flipH="1">
            <a:off x="11553825" y="155448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5_Click" textlink="">
        <xdr:nvSpPr>
          <xdr:cNvPr id="3714" name="W008T"/>
          <xdr:cNvSpPr txBox="1"/>
        </xdr:nvSpPr>
        <xdr:spPr>
          <a:xfrm>
            <a:off x="11662119" y="15388282"/>
            <a:ext cx="103477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45.// Update Inventory</a:t>
            </a:r>
          </a:p>
        </xdr:txBody>
      </xdr:sp>
    </xdr:grpSp>
    <xdr:clientData/>
  </xdr:twoCellAnchor>
  <xdr:twoCellAnchor>
    <xdr:from>
      <xdr:col>9</xdr:col>
      <xdr:colOff>1209675</xdr:colOff>
      <xdr:row>48</xdr:row>
      <xdr:rowOff>167332</xdr:rowOff>
    </xdr:from>
    <xdr:to>
      <xdr:col>11</xdr:col>
      <xdr:colOff>66675</xdr:colOff>
      <xdr:row>49</xdr:row>
      <xdr:rowOff>57150</xdr:rowOff>
    </xdr:to>
    <xdr:grpSp>
      <xdr:nvGrpSpPr>
        <xdr:cNvPr id="3720" name="X011"/>
        <xdr:cNvGrpSpPr/>
      </xdr:nvGrpSpPr>
      <xdr:grpSpPr>
        <a:xfrm>
          <a:off x="12675394" y="15597832"/>
          <a:ext cx="1404937" cy="211287"/>
          <a:chOff x="12696825" y="15712132"/>
          <a:chExt cx="1409700" cy="213668"/>
        </a:xfrm>
      </xdr:grpSpPr>
      <xdr:sp macro="Mov046_Click" textlink="">
        <xdr:nvSpPr>
          <xdr:cNvPr id="3716" name="X011L"/>
          <xdr:cNvSpPr/>
        </xdr:nvSpPr>
        <xdr:spPr bwMode="auto">
          <a:xfrm>
            <a:off x="12696825" y="158115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6_Click" textlink="">
        <xdr:nvSpPr>
          <xdr:cNvPr id="3717" name="X011R"/>
          <xdr:cNvSpPr/>
        </xdr:nvSpPr>
        <xdr:spPr bwMode="auto">
          <a:xfrm>
            <a:off x="13973175" y="15811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6_Click">
        <xdr:nvCxnSpPr>
          <xdr:cNvPr id="3718" name="X011C"/>
          <xdr:cNvCxnSpPr>
            <a:stCxn id="3716" idx="3"/>
            <a:endCxn id="3717" idx="1"/>
          </xdr:cNvCxnSpPr>
        </xdr:nvCxnSpPr>
        <xdr:spPr bwMode="auto">
          <a:xfrm>
            <a:off x="12830175" y="158686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6_Click" textlink="">
        <xdr:nvSpPr>
          <xdr:cNvPr id="3719" name="X011T"/>
          <xdr:cNvSpPr txBox="1"/>
        </xdr:nvSpPr>
        <xdr:spPr>
          <a:xfrm>
            <a:off x="12830175" y="15712132"/>
            <a:ext cx="97616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46.// Start Monitoring</a:t>
            </a:r>
          </a:p>
        </xdr:txBody>
      </xdr:sp>
    </xdr:grpSp>
    <xdr:clientData/>
  </xdr:twoCellAnchor>
  <xdr:twoCellAnchor>
    <xdr:from>
      <xdr:col>9</xdr:col>
      <xdr:colOff>1209675</xdr:colOff>
      <xdr:row>49</xdr:row>
      <xdr:rowOff>167332</xdr:rowOff>
    </xdr:from>
    <xdr:to>
      <xdr:col>11</xdr:col>
      <xdr:colOff>66675</xdr:colOff>
      <xdr:row>50</xdr:row>
      <xdr:rowOff>57150</xdr:rowOff>
    </xdr:to>
    <xdr:grpSp>
      <xdr:nvGrpSpPr>
        <xdr:cNvPr id="3725" name="E016"/>
        <xdr:cNvGrpSpPr/>
      </xdr:nvGrpSpPr>
      <xdr:grpSpPr>
        <a:xfrm>
          <a:off x="12675394" y="15919301"/>
          <a:ext cx="1404937" cy="211287"/>
          <a:chOff x="12696825" y="16035982"/>
          <a:chExt cx="1409700" cy="213668"/>
        </a:xfrm>
      </xdr:grpSpPr>
      <xdr:sp macro="Mov047_Click" textlink="">
        <xdr:nvSpPr>
          <xdr:cNvPr id="3721" name="E016L"/>
          <xdr:cNvSpPr/>
        </xdr:nvSpPr>
        <xdr:spPr bwMode="auto">
          <a:xfrm>
            <a:off x="13973175" y="161353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7_Click" textlink="">
        <xdr:nvSpPr>
          <xdr:cNvPr id="3722" name="E016R"/>
          <xdr:cNvSpPr/>
        </xdr:nvSpPr>
        <xdr:spPr bwMode="auto">
          <a:xfrm>
            <a:off x="12696825" y="16135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7_Click">
        <xdr:nvCxnSpPr>
          <xdr:cNvPr id="3723" name="E016C"/>
          <xdr:cNvCxnSpPr>
            <a:stCxn id="3721" idx="1"/>
            <a:endCxn id="3722" idx="3"/>
          </xdr:cNvCxnSpPr>
        </xdr:nvCxnSpPr>
        <xdr:spPr bwMode="auto">
          <a:xfrm flipH="1">
            <a:off x="12830175" y="16192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7_Click" textlink="">
        <xdr:nvSpPr>
          <xdr:cNvPr id="3724" name="E016T"/>
          <xdr:cNvSpPr txBox="1"/>
        </xdr:nvSpPr>
        <xdr:spPr>
          <a:xfrm>
            <a:off x="13388720" y="16035982"/>
            <a:ext cx="5845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47.// Monitor</a:t>
            </a:r>
          </a:p>
        </xdr:txBody>
      </xdr:sp>
    </xdr:grpSp>
    <xdr:clientData/>
  </xdr:twoCellAnchor>
  <xdr:twoCellAnchor>
    <xdr:from>
      <xdr:col>9</xdr:col>
      <xdr:colOff>1209675</xdr:colOff>
      <xdr:row>50</xdr:row>
      <xdr:rowOff>167332</xdr:rowOff>
    </xdr:from>
    <xdr:to>
      <xdr:col>12</xdr:col>
      <xdr:colOff>66675</xdr:colOff>
      <xdr:row>51</xdr:row>
      <xdr:rowOff>57150</xdr:rowOff>
    </xdr:to>
    <xdr:grpSp>
      <xdr:nvGrpSpPr>
        <xdr:cNvPr id="3730" name="X012"/>
        <xdr:cNvGrpSpPr/>
      </xdr:nvGrpSpPr>
      <xdr:grpSpPr>
        <a:xfrm>
          <a:off x="12675394" y="16240770"/>
          <a:ext cx="2678906" cy="211286"/>
          <a:chOff x="12696825" y="16359832"/>
          <a:chExt cx="2686050" cy="213668"/>
        </a:xfrm>
      </xdr:grpSpPr>
      <xdr:sp macro="Mov048_Click" textlink="">
        <xdr:nvSpPr>
          <xdr:cNvPr id="3726" name="X012L"/>
          <xdr:cNvSpPr/>
        </xdr:nvSpPr>
        <xdr:spPr bwMode="auto">
          <a:xfrm>
            <a:off x="12696825" y="164592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8_Click" textlink="">
        <xdr:nvSpPr>
          <xdr:cNvPr id="3727" name="X012R"/>
          <xdr:cNvSpPr/>
        </xdr:nvSpPr>
        <xdr:spPr bwMode="auto">
          <a:xfrm>
            <a:off x="15249525" y="16459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8_Click">
        <xdr:nvCxnSpPr>
          <xdr:cNvPr id="3728" name="X012C"/>
          <xdr:cNvCxnSpPr>
            <a:stCxn id="3726" idx="3"/>
            <a:endCxn id="3727" idx="1"/>
          </xdr:cNvCxnSpPr>
        </xdr:nvCxnSpPr>
        <xdr:spPr bwMode="auto">
          <a:xfrm>
            <a:off x="12830175" y="165163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8_Click" textlink="">
        <xdr:nvSpPr>
          <xdr:cNvPr id="3729" name="X012T"/>
          <xdr:cNvSpPr txBox="1"/>
        </xdr:nvSpPr>
        <xdr:spPr>
          <a:xfrm>
            <a:off x="12830175" y="16359832"/>
            <a:ext cx="82420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48.// Control Heat</a:t>
            </a:r>
          </a:p>
        </xdr:txBody>
      </xdr:sp>
    </xdr:grpSp>
    <xdr:clientData/>
  </xdr:twoCellAnchor>
  <xdr:twoCellAnchor>
    <xdr:from>
      <xdr:col>9</xdr:col>
      <xdr:colOff>1209675</xdr:colOff>
      <xdr:row>51</xdr:row>
      <xdr:rowOff>167332</xdr:rowOff>
    </xdr:from>
    <xdr:to>
      <xdr:col>12</xdr:col>
      <xdr:colOff>66675</xdr:colOff>
      <xdr:row>52</xdr:row>
      <xdr:rowOff>57150</xdr:rowOff>
    </xdr:to>
    <xdr:grpSp>
      <xdr:nvGrpSpPr>
        <xdr:cNvPr id="3735" name="E017"/>
        <xdr:cNvGrpSpPr/>
      </xdr:nvGrpSpPr>
      <xdr:grpSpPr>
        <a:xfrm>
          <a:off x="12675394" y="16562238"/>
          <a:ext cx="2678906" cy="211287"/>
          <a:chOff x="12696825" y="16683682"/>
          <a:chExt cx="2686050" cy="213668"/>
        </a:xfrm>
      </xdr:grpSpPr>
      <xdr:sp macro="Mov049_Click" textlink="">
        <xdr:nvSpPr>
          <xdr:cNvPr id="3731" name="E017L"/>
          <xdr:cNvSpPr/>
        </xdr:nvSpPr>
        <xdr:spPr bwMode="auto">
          <a:xfrm>
            <a:off x="15249525" y="167830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9_Click" textlink="">
        <xdr:nvSpPr>
          <xdr:cNvPr id="3732" name="E017R"/>
          <xdr:cNvSpPr/>
        </xdr:nvSpPr>
        <xdr:spPr bwMode="auto">
          <a:xfrm>
            <a:off x="12696825" y="16783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9_Click">
        <xdr:nvCxnSpPr>
          <xdr:cNvPr id="3733" name="E017C"/>
          <xdr:cNvCxnSpPr>
            <a:stCxn id="3731" idx="1"/>
            <a:endCxn id="3732" idx="3"/>
          </xdr:cNvCxnSpPr>
        </xdr:nvCxnSpPr>
        <xdr:spPr bwMode="auto">
          <a:xfrm flipH="1">
            <a:off x="12830175" y="1684020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9_Click" textlink="">
        <xdr:nvSpPr>
          <xdr:cNvPr id="3734" name="E017T"/>
          <xdr:cNvSpPr txBox="1"/>
        </xdr:nvSpPr>
        <xdr:spPr>
          <a:xfrm>
            <a:off x="14372682" y="16683682"/>
            <a:ext cx="87690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49.// Report Status</a:t>
            </a:r>
          </a:p>
        </xdr:txBody>
      </xdr:sp>
    </xdr:grpSp>
    <xdr:clientData/>
  </xdr:twoCellAnchor>
  <xdr:twoCellAnchor>
    <xdr:from>
      <xdr:col>9</xdr:col>
      <xdr:colOff>1209675</xdr:colOff>
      <xdr:row>52</xdr:row>
      <xdr:rowOff>167332</xdr:rowOff>
    </xdr:from>
    <xdr:to>
      <xdr:col>13</xdr:col>
      <xdr:colOff>66675</xdr:colOff>
      <xdr:row>53</xdr:row>
      <xdr:rowOff>57150</xdr:rowOff>
    </xdr:to>
    <xdr:grpSp>
      <xdr:nvGrpSpPr>
        <xdr:cNvPr id="3740" name="X013"/>
        <xdr:cNvGrpSpPr/>
      </xdr:nvGrpSpPr>
      <xdr:grpSpPr>
        <a:xfrm>
          <a:off x="12675394" y="16883707"/>
          <a:ext cx="3952875" cy="211287"/>
          <a:chOff x="12696825" y="17007532"/>
          <a:chExt cx="3962400" cy="213668"/>
        </a:xfrm>
      </xdr:grpSpPr>
      <xdr:sp macro="Mov050_Click" textlink="">
        <xdr:nvSpPr>
          <xdr:cNvPr id="3736" name="X013L"/>
          <xdr:cNvSpPr/>
        </xdr:nvSpPr>
        <xdr:spPr bwMode="auto">
          <a:xfrm>
            <a:off x="12696825" y="171069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0_Click" textlink="">
        <xdr:nvSpPr>
          <xdr:cNvPr id="3737" name="X013R"/>
          <xdr:cNvSpPr/>
        </xdr:nvSpPr>
        <xdr:spPr bwMode="auto">
          <a:xfrm>
            <a:off x="16525875" y="17106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0_Click">
        <xdr:nvCxnSpPr>
          <xdr:cNvPr id="3738" name="X013C"/>
          <xdr:cNvCxnSpPr>
            <a:stCxn id="3736" idx="3"/>
            <a:endCxn id="3737" idx="1"/>
          </xdr:cNvCxnSpPr>
        </xdr:nvCxnSpPr>
        <xdr:spPr bwMode="auto">
          <a:xfrm>
            <a:off x="12830175" y="1716405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0_Click" textlink="">
        <xdr:nvSpPr>
          <xdr:cNvPr id="3739" name="X013T"/>
          <xdr:cNvSpPr txBox="1"/>
        </xdr:nvSpPr>
        <xdr:spPr>
          <a:xfrm>
            <a:off x="12830175" y="17007532"/>
            <a:ext cx="97616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50.// Start Monitoring</a:t>
            </a:r>
          </a:p>
        </xdr:txBody>
      </xdr:sp>
    </xdr:grpSp>
    <xdr:clientData/>
  </xdr:twoCellAnchor>
  <xdr:twoCellAnchor>
    <xdr:from>
      <xdr:col>9</xdr:col>
      <xdr:colOff>1209675</xdr:colOff>
      <xdr:row>53</xdr:row>
      <xdr:rowOff>167332</xdr:rowOff>
    </xdr:from>
    <xdr:to>
      <xdr:col>13</xdr:col>
      <xdr:colOff>66675</xdr:colOff>
      <xdr:row>54</xdr:row>
      <xdr:rowOff>57150</xdr:rowOff>
    </xdr:to>
    <xdr:grpSp>
      <xdr:nvGrpSpPr>
        <xdr:cNvPr id="3745" name="E018"/>
        <xdr:cNvGrpSpPr/>
      </xdr:nvGrpSpPr>
      <xdr:grpSpPr>
        <a:xfrm>
          <a:off x="12675394" y="17205176"/>
          <a:ext cx="3952875" cy="211287"/>
          <a:chOff x="12696825" y="17331382"/>
          <a:chExt cx="3962400" cy="213668"/>
        </a:xfrm>
      </xdr:grpSpPr>
      <xdr:sp macro="Mov051_Click" textlink="">
        <xdr:nvSpPr>
          <xdr:cNvPr id="3741" name="E018L"/>
          <xdr:cNvSpPr/>
        </xdr:nvSpPr>
        <xdr:spPr bwMode="auto">
          <a:xfrm>
            <a:off x="16525875" y="174307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1_Click" textlink="">
        <xdr:nvSpPr>
          <xdr:cNvPr id="3742" name="E018R"/>
          <xdr:cNvSpPr/>
        </xdr:nvSpPr>
        <xdr:spPr bwMode="auto">
          <a:xfrm>
            <a:off x="12696825" y="17430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1_Click">
        <xdr:nvCxnSpPr>
          <xdr:cNvPr id="3743" name="E018C"/>
          <xdr:cNvCxnSpPr>
            <a:stCxn id="3741" idx="1"/>
            <a:endCxn id="3742" idx="3"/>
          </xdr:cNvCxnSpPr>
        </xdr:nvCxnSpPr>
        <xdr:spPr bwMode="auto">
          <a:xfrm flipH="1">
            <a:off x="12830175" y="1748790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1_Click" textlink="">
        <xdr:nvSpPr>
          <xdr:cNvPr id="3744" name="E018T"/>
          <xdr:cNvSpPr txBox="1"/>
        </xdr:nvSpPr>
        <xdr:spPr>
          <a:xfrm>
            <a:off x="15941420" y="17331382"/>
            <a:ext cx="5845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51.// Monitor</a:t>
            </a:r>
          </a:p>
        </xdr:txBody>
      </xdr:sp>
    </xdr:grpSp>
    <xdr:clientData/>
  </xdr:twoCellAnchor>
  <xdr:twoCellAnchor>
    <xdr:from>
      <xdr:col>9</xdr:col>
      <xdr:colOff>1209675</xdr:colOff>
      <xdr:row>54</xdr:row>
      <xdr:rowOff>167332</xdr:rowOff>
    </xdr:from>
    <xdr:to>
      <xdr:col>13</xdr:col>
      <xdr:colOff>66675</xdr:colOff>
      <xdr:row>55</xdr:row>
      <xdr:rowOff>57150</xdr:rowOff>
    </xdr:to>
    <xdr:grpSp>
      <xdr:nvGrpSpPr>
        <xdr:cNvPr id="3750" name="X014"/>
        <xdr:cNvGrpSpPr/>
      </xdr:nvGrpSpPr>
      <xdr:grpSpPr>
        <a:xfrm>
          <a:off x="12675394" y="17526645"/>
          <a:ext cx="3952875" cy="211286"/>
          <a:chOff x="12696825" y="17655232"/>
          <a:chExt cx="3962400" cy="213668"/>
        </a:xfrm>
      </xdr:grpSpPr>
      <xdr:sp macro="Mov052_Click" textlink="">
        <xdr:nvSpPr>
          <xdr:cNvPr id="3746" name="X014L"/>
          <xdr:cNvSpPr/>
        </xdr:nvSpPr>
        <xdr:spPr bwMode="auto">
          <a:xfrm>
            <a:off x="12696825" y="177546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2_Click" textlink="">
        <xdr:nvSpPr>
          <xdr:cNvPr id="3747" name="X014R"/>
          <xdr:cNvSpPr/>
        </xdr:nvSpPr>
        <xdr:spPr bwMode="auto">
          <a:xfrm>
            <a:off x="16525875" y="17754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2_Click">
        <xdr:nvCxnSpPr>
          <xdr:cNvPr id="3748" name="X014C"/>
          <xdr:cNvCxnSpPr>
            <a:stCxn id="3746" idx="3"/>
            <a:endCxn id="3747" idx="1"/>
          </xdr:cNvCxnSpPr>
        </xdr:nvCxnSpPr>
        <xdr:spPr bwMode="auto">
          <a:xfrm>
            <a:off x="12830175" y="1781175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2_Click" textlink="">
        <xdr:nvSpPr>
          <xdr:cNvPr id="3749" name="X014T"/>
          <xdr:cNvSpPr txBox="1"/>
        </xdr:nvSpPr>
        <xdr:spPr>
          <a:xfrm>
            <a:off x="12830175" y="17655232"/>
            <a:ext cx="82420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52.// Control Heat</a:t>
            </a:r>
          </a:p>
        </xdr:txBody>
      </xdr:sp>
    </xdr:grpSp>
    <xdr:clientData/>
  </xdr:twoCellAnchor>
  <xdr:twoCellAnchor>
    <xdr:from>
      <xdr:col>9</xdr:col>
      <xdr:colOff>1209675</xdr:colOff>
      <xdr:row>55</xdr:row>
      <xdr:rowOff>167332</xdr:rowOff>
    </xdr:from>
    <xdr:to>
      <xdr:col>13</xdr:col>
      <xdr:colOff>66675</xdr:colOff>
      <xdr:row>56</xdr:row>
      <xdr:rowOff>57150</xdr:rowOff>
    </xdr:to>
    <xdr:grpSp>
      <xdr:nvGrpSpPr>
        <xdr:cNvPr id="3755" name="E019"/>
        <xdr:cNvGrpSpPr/>
      </xdr:nvGrpSpPr>
      <xdr:grpSpPr>
        <a:xfrm>
          <a:off x="12675394" y="17848113"/>
          <a:ext cx="3952875" cy="211287"/>
          <a:chOff x="12696825" y="17979082"/>
          <a:chExt cx="3962400" cy="213668"/>
        </a:xfrm>
      </xdr:grpSpPr>
      <xdr:sp macro="Mov053_Click" textlink="">
        <xdr:nvSpPr>
          <xdr:cNvPr id="3751" name="E019L"/>
          <xdr:cNvSpPr/>
        </xdr:nvSpPr>
        <xdr:spPr bwMode="auto">
          <a:xfrm>
            <a:off x="16525875" y="180784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3_Click" textlink="">
        <xdr:nvSpPr>
          <xdr:cNvPr id="3752" name="E019R"/>
          <xdr:cNvSpPr/>
        </xdr:nvSpPr>
        <xdr:spPr bwMode="auto">
          <a:xfrm>
            <a:off x="12696825" y="18078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3_Click">
        <xdr:nvCxnSpPr>
          <xdr:cNvPr id="3753" name="E019C"/>
          <xdr:cNvCxnSpPr>
            <a:stCxn id="3751" idx="1"/>
            <a:endCxn id="3752" idx="3"/>
          </xdr:cNvCxnSpPr>
        </xdr:nvCxnSpPr>
        <xdr:spPr bwMode="auto">
          <a:xfrm flipH="1">
            <a:off x="12830175" y="1813560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3_Click" textlink="">
        <xdr:nvSpPr>
          <xdr:cNvPr id="3754" name="E019T"/>
          <xdr:cNvSpPr txBox="1"/>
        </xdr:nvSpPr>
        <xdr:spPr>
          <a:xfrm>
            <a:off x="15649032" y="17979082"/>
            <a:ext cx="87690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53.// Report Status</a:t>
            </a:r>
          </a:p>
        </xdr:txBody>
      </xdr:sp>
    </xdr:grpSp>
    <xdr:clientData/>
  </xdr:twoCellAnchor>
  <xdr:twoCellAnchor>
    <xdr:from>
      <xdr:col>0</xdr:col>
      <xdr:colOff>1209675</xdr:colOff>
      <xdr:row>56</xdr:row>
      <xdr:rowOff>167332</xdr:rowOff>
    </xdr:from>
    <xdr:to>
      <xdr:col>10</xdr:col>
      <xdr:colOff>66675</xdr:colOff>
      <xdr:row>57</xdr:row>
      <xdr:rowOff>57150</xdr:rowOff>
    </xdr:to>
    <xdr:grpSp>
      <xdr:nvGrpSpPr>
        <xdr:cNvPr id="3760" name="X015"/>
        <xdr:cNvGrpSpPr/>
      </xdr:nvGrpSpPr>
      <xdr:grpSpPr>
        <a:xfrm>
          <a:off x="1209675" y="18169582"/>
          <a:ext cx="11596688" cy="211287"/>
          <a:chOff x="1209675" y="18302932"/>
          <a:chExt cx="11620500" cy="213668"/>
        </a:xfrm>
      </xdr:grpSpPr>
      <xdr:sp macro="Mov054_Click" textlink="">
        <xdr:nvSpPr>
          <xdr:cNvPr id="3756" name="X015L"/>
          <xdr:cNvSpPr/>
        </xdr:nvSpPr>
        <xdr:spPr bwMode="auto">
          <a:xfrm>
            <a:off x="12696825" y="184023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4_Click" textlink="">
        <xdr:nvSpPr>
          <xdr:cNvPr id="3757" name="X015R"/>
          <xdr:cNvSpPr/>
        </xdr:nvSpPr>
        <xdr:spPr bwMode="auto">
          <a:xfrm>
            <a:off x="1209675" y="18402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4_Click">
        <xdr:nvCxnSpPr>
          <xdr:cNvPr id="3758" name="X015C"/>
          <xdr:cNvCxnSpPr>
            <a:stCxn id="3756" idx="1"/>
            <a:endCxn id="3757" idx="3"/>
          </xdr:cNvCxnSpPr>
        </xdr:nvCxnSpPr>
        <xdr:spPr bwMode="auto">
          <a:xfrm flipH="1">
            <a:off x="1343025" y="184594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4_Click" textlink="">
        <xdr:nvSpPr>
          <xdr:cNvPr id="3759" name="X015T"/>
          <xdr:cNvSpPr txBox="1"/>
        </xdr:nvSpPr>
        <xdr:spPr>
          <a:xfrm>
            <a:off x="11972075" y="18302932"/>
            <a:ext cx="72481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54.// Alert Cook</a:t>
            </a:r>
          </a:p>
        </xdr:txBody>
      </xdr:sp>
    </xdr:grpSp>
    <xdr:clientData/>
  </xdr:twoCellAnchor>
  <xdr:twoCellAnchor>
    <xdr:from>
      <xdr:col>0</xdr:col>
      <xdr:colOff>1209675</xdr:colOff>
      <xdr:row>57</xdr:row>
      <xdr:rowOff>167332</xdr:rowOff>
    </xdr:from>
    <xdr:to>
      <xdr:col>10</xdr:col>
      <xdr:colOff>66675</xdr:colOff>
      <xdr:row>58</xdr:row>
      <xdr:rowOff>57150</xdr:rowOff>
    </xdr:to>
    <xdr:grpSp>
      <xdr:nvGrpSpPr>
        <xdr:cNvPr id="3765" name="E020"/>
        <xdr:cNvGrpSpPr/>
      </xdr:nvGrpSpPr>
      <xdr:grpSpPr>
        <a:xfrm>
          <a:off x="1209675" y="18491051"/>
          <a:ext cx="11596688" cy="211287"/>
          <a:chOff x="1209675" y="18626782"/>
          <a:chExt cx="11620500" cy="213668"/>
        </a:xfrm>
      </xdr:grpSpPr>
      <xdr:sp macro="Mov055_Click" textlink="">
        <xdr:nvSpPr>
          <xdr:cNvPr id="3761" name="E020L"/>
          <xdr:cNvSpPr/>
        </xdr:nvSpPr>
        <xdr:spPr bwMode="auto">
          <a:xfrm>
            <a:off x="1209675" y="187261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5_Click" textlink="">
        <xdr:nvSpPr>
          <xdr:cNvPr id="3762" name="E020R"/>
          <xdr:cNvSpPr/>
        </xdr:nvSpPr>
        <xdr:spPr bwMode="auto">
          <a:xfrm>
            <a:off x="12696825" y="18726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5_Click">
        <xdr:nvCxnSpPr>
          <xdr:cNvPr id="3763" name="E020C"/>
          <xdr:cNvCxnSpPr>
            <a:stCxn id="3761" idx="3"/>
            <a:endCxn id="3762" idx="1"/>
          </xdr:cNvCxnSpPr>
        </xdr:nvCxnSpPr>
        <xdr:spPr bwMode="auto">
          <a:xfrm>
            <a:off x="1343025" y="187833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5_Click" textlink="">
        <xdr:nvSpPr>
          <xdr:cNvPr id="3764" name="E020T"/>
          <xdr:cNvSpPr txBox="1"/>
        </xdr:nvSpPr>
        <xdr:spPr>
          <a:xfrm>
            <a:off x="1343025" y="18626782"/>
            <a:ext cx="91781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55.// Adapt Process</a:t>
            </a:r>
          </a:p>
        </xdr:txBody>
      </xdr:sp>
    </xdr:grpSp>
    <xdr:clientData/>
  </xdr:twoCellAnchor>
  <xdr:twoCellAnchor>
    <xdr:from>
      <xdr:col>0</xdr:col>
      <xdr:colOff>1209675</xdr:colOff>
      <xdr:row>58</xdr:row>
      <xdr:rowOff>167332</xdr:rowOff>
    </xdr:from>
    <xdr:to>
      <xdr:col>10</xdr:col>
      <xdr:colOff>66675</xdr:colOff>
      <xdr:row>59</xdr:row>
      <xdr:rowOff>57150</xdr:rowOff>
    </xdr:to>
    <xdr:grpSp>
      <xdr:nvGrpSpPr>
        <xdr:cNvPr id="3770" name="X016"/>
        <xdr:cNvGrpSpPr/>
      </xdr:nvGrpSpPr>
      <xdr:grpSpPr>
        <a:xfrm>
          <a:off x="1209675" y="18812520"/>
          <a:ext cx="11596688" cy="211286"/>
          <a:chOff x="1209675" y="18950632"/>
          <a:chExt cx="11620500" cy="213668"/>
        </a:xfrm>
      </xdr:grpSpPr>
      <xdr:sp macro="Mov056_Click" textlink="">
        <xdr:nvSpPr>
          <xdr:cNvPr id="3766" name="X016L"/>
          <xdr:cNvSpPr/>
        </xdr:nvSpPr>
        <xdr:spPr bwMode="auto">
          <a:xfrm>
            <a:off x="12696825" y="190500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6_Click" textlink="">
        <xdr:nvSpPr>
          <xdr:cNvPr id="3767" name="X016R"/>
          <xdr:cNvSpPr/>
        </xdr:nvSpPr>
        <xdr:spPr bwMode="auto">
          <a:xfrm>
            <a:off x="1209675" y="19050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6_Click">
        <xdr:nvCxnSpPr>
          <xdr:cNvPr id="3768" name="X016C"/>
          <xdr:cNvCxnSpPr>
            <a:stCxn id="3766" idx="1"/>
            <a:endCxn id="3767" idx="3"/>
          </xdr:cNvCxnSpPr>
        </xdr:nvCxnSpPr>
        <xdr:spPr bwMode="auto">
          <a:xfrm flipH="1">
            <a:off x="1343025" y="191071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6_Click" textlink="">
        <xdr:nvSpPr>
          <xdr:cNvPr id="3769" name="X016T"/>
          <xdr:cNvSpPr txBox="1"/>
        </xdr:nvSpPr>
        <xdr:spPr>
          <a:xfrm>
            <a:off x="11317537" y="18950632"/>
            <a:ext cx="137935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56.// Calculate Nutrition Facts</a:t>
            </a:r>
          </a:p>
        </xdr:txBody>
      </xdr:sp>
    </xdr:grpSp>
    <xdr:clientData/>
  </xdr:twoCellAnchor>
  <xdr:twoCellAnchor>
    <xdr:from>
      <xdr:col>9</xdr:col>
      <xdr:colOff>1209675</xdr:colOff>
      <xdr:row>59</xdr:row>
      <xdr:rowOff>167332</xdr:rowOff>
    </xdr:from>
    <xdr:to>
      <xdr:col>14</xdr:col>
      <xdr:colOff>66675</xdr:colOff>
      <xdr:row>60</xdr:row>
      <xdr:rowOff>57150</xdr:rowOff>
    </xdr:to>
    <xdr:grpSp>
      <xdr:nvGrpSpPr>
        <xdr:cNvPr id="3775" name="W009"/>
        <xdr:cNvGrpSpPr/>
      </xdr:nvGrpSpPr>
      <xdr:grpSpPr>
        <a:xfrm>
          <a:off x="12675394" y="19133988"/>
          <a:ext cx="5226844" cy="211287"/>
          <a:chOff x="12696825" y="19274482"/>
          <a:chExt cx="5238750" cy="213668"/>
        </a:xfrm>
      </xdr:grpSpPr>
      <xdr:sp macro="Mov057_Click" textlink="">
        <xdr:nvSpPr>
          <xdr:cNvPr id="3771" name="W009L"/>
          <xdr:cNvSpPr/>
        </xdr:nvSpPr>
        <xdr:spPr bwMode="auto">
          <a:xfrm>
            <a:off x="12696825" y="193738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7_Click" textlink="">
        <xdr:nvSpPr>
          <xdr:cNvPr id="3772" name="W009R"/>
          <xdr:cNvSpPr/>
        </xdr:nvSpPr>
        <xdr:spPr bwMode="auto">
          <a:xfrm>
            <a:off x="17802225" y="19373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7_Click">
        <xdr:nvCxnSpPr>
          <xdr:cNvPr id="3773" name="W009C"/>
          <xdr:cNvCxnSpPr>
            <a:stCxn id="3771" idx="3"/>
            <a:endCxn id="3772" idx="1"/>
          </xdr:cNvCxnSpPr>
        </xdr:nvCxnSpPr>
        <xdr:spPr bwMode="auto">
          <a:xfrm>
            <a:off x="12830175" y="194310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7_Click" textlink="">
        <xdr:nvSpPr>
          <xdr:cNvPr id="3774" name="W009T"/>
          <xdr:cNvSpPr txBox="1"/>
        </xdr:nvSpPr>
        <xdr:spPr>
          <a:xfrm>
            <a:off x="12830175" y="19274482"/>
            <a:ext cx="132100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57.// Record Cooked Recipe</a:t>
            </a:r>
          </a:p>
        </xdr:txBody>
      </xdr:sp>
    </xdr:grpSp>
    <xdr:clientData/>
  </xdr:twoCellAnchor>
  <xdr:twoCellAnchor>
    <xdr:from>
      <xdr:col>0</xdr:col>
      <xdr:colOff>1209675</xdr:colOff>
      <xdr:row>60</xdr:row>
      <xdr:rowOff>167332</xdr:rowOff>
    </xdr:from>
    <xdr:to>
      <xdr:col>10</xdr:col>
      <xdr:colOff>66675</xdr:colOff>
      <xdr:row>61</xdr:row>
      <xdr:rowOff>57150</xdr:rowOff>
    </xdr:to>
    <xdr:grpSp>
      <xdr:nvGrpSpPr>
        <xdr:cNvPr id="3780" name="E021"/>
        <xdr:cNvGrpSpPr/>
      </xdr:nvGrpSpPr>
      <xdr:grpSpPr>
        <a:xfrm>
          <a:off x="1209675" y="19455457"/>
          <a:ext cx="11596688" cy="211287"/>
          <a:chOff x="1209675" y="19598332"/>
          <a:chExt cx="11620500" cy="213668"/>
        </a:xfrm>
      </xdr:grpSpPr>
      <xdr:sp macro="Mov058_Click" textlink="">
        <xdr:nvSpPr>
          <xdr:cNvPr id="3776" name="E021L"/>
          <xdr:cNvSpPr/>
        </xdr:nvSpPr>
        <xdr:spPr bwMode="auto">
          <a:xfrm>
            <a:off x="1209675" y="196977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8_Click" textlink="">
        <xdr:nvSpPr>
          <xdr:cNvPr id="3777" name="E021R"/>
          <xdr:cNvSpPr/>
        </xdr:nvSpPr>
        <xdr:spPr bwMode="auto">
          <a:xfrm>
            <a:off x="12696825" y="19697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8_Click">
        <xdr:nvCxnSpPr>
          <xdr:cNvPr id="3778" name="E021C"/>
          <xdr:cNvCxnSpPr>
            <a:stCxn id="3776" idx="3"/>
            <a:endCxn id="3777" idx="1"/>
          </xdr:cNvCxnSpPr>
        </xdr:nvCxnSpPr>
        <xdr:spPr bwMode="auto">
          <a:xfrm>
            <a:off x="1343025" y="197548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8_Click" textlink="">
        <xdr:nvSpPr>
          <xdr:cNvPr id="3779" name="E021T"/>
          <xdr:cNvSpPr txBox="1"/>
        </xdr:nvSpPr>
        <xdr:spPr>
          <a:xfrm>
            <a:off x="1343025" y="19598332"/>
            <a:ext cx="12741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58.// Recall Cooked Recipe</a:t>
            </a:r>
          </a:p>
        </xdr:txBody>
      </xdr:sp>
    </xdr:grpSp>
    <xdr:clientData/>
  </xdr:twoCellAnchor>
  <xdr:twoCellAnchor>
    <xdr:from>
      <xdr:col>0</xdr:col>
      <xdr:colOff>80718</xdr:colOff>
      <xdr:row>57</xdr:row>
      <xdr:rowOff>238125</xdr:rowOff>
    </xdr:from>
    <xdr:to>
      <xdr:col>0</xdr:col>
      <xdr:colOff>541581</xdr:colOff>
      <xdr:row>59</xdr:row>
      <xdr:rowOff>305835</xdr:rowOff>
    </xdr:to>
    <xdr:grpSp>
      <xdr:nvGrpSpPr>
        <xdr:cNvPr id="3783" name="T07"/>
        <xdr:cNvGrpSpPr/>
      </xdr:nvGrpSpPr>
      <xdr:grpSpPr>
        <a:xfrm>
          <a:off x="80718" y="18561844"/>
          <a:ext cx="460863" cy="710647"/>
          <a:chOff x="80718" y="18697575"/>
          <a:chExt cx="460863" cy="715410"/>
        </a:xfrm>
      </xdr:grpSpPr>
      <xdr:sp macro="Trg058_Click" textlink="">
        <xdr:nvSpPr>
          <xdr:cNvPr id="3781" name="T07S"/>
          <xdr:cNvSpPr/>
        </xdr:nvSpPr>
        <xdr:spPr bwMode="auto">
          <a:xfrm>
            <a:off x="85725" y="186975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58_Click" textlink="">
        <xdr:nvSpPr>
          <xdr:cNvPr id="3782" name="T07T"/>
          <xdr:cNvSpPr txBox="1"/>
        </xdr:nvSpPr>
        <xdr:spPr>
          <a:xfrm>
            <a:off x="80718" y="191484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Remember</a:t>
            </a:r>
          </a:p>
        </xdr:txBody>
      </xdr:sp>
    </xdr:grpSp>
    <xdr:clientData/>
  </xdr:twoCellAnchor>
  <xdr:twoCellAnchor>
    <xdr:from>
      <xdr:col>0</xdr:col>
      <xdr:colOff>311150</xdr:colOff>
      <xdr:row>59</xdr:row>
      <xdr:rowOff>305834</xdr:rowOff>
    </xdr:from>
    <xdr:to>
      <xdr:col>0</xdr:col>
      <xdr:colOff>1209675</xdr:colOff>
      <xdr:row>60</xdr:row>
      <xdr:rowOff>323849</xdr:rowOff>
    </xdr:to>
    <xdr:cxnSp macro="">
      <xdr:nvCxnSpPr>
        <xdr:cNvPr id="3784" name="T07C"/>
        <xdr:cNvCxnSpPr>
          <a:stCxn id="3782" idx="2"/>
          <a:endCxn id="3776" idx="1"/>
        </xdr:cNvCxnSpPr>
      </xdr:nvCxnSpPr>
      <xdr:spPr bwMode="auto">
        <a:xfrm rot="16200000" flipH="1">
          <a:off x="589480" y="19134654"/>
          <a:ext cx="341865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1209675</xdr:colOff>
      <xdr:row>61</xdr:row>
      <xdr:rowOff>167332</xdr:rowOff>
    </xdr:from>
    <xdr:to>
      <xdr:col>14</xdr:col>
      <xdr:colOff>66675</xdr:colOff>
      <xdr:row>62</xdr:row>
      <xdr:rowOff>57150</xdr:rowOff>
    </xdr:to>
    <xdr:grpSp>
      <xdr:nvGrpSpPr>
        <xdr:cNvPr id="3789" name="R013"/>
        <xdr:cNvGrpSpPr/>
      </xdr:nvGrpSpPr>
      <xdr:grpSpPr>
        <a:xfrm>
          <a:off x="12675394" y="19776926"/>
          <a:ext cx="5226844" cy="211287"/>
          <a:chOff x="12696825" y="19922182"/>
          <a:chExt cx="5238750" cy="213668"/>
        </a:xfrm>
      </xdr:grpSpPr>
      <xdr:sp macro="Mov059_Click" textlink="">
        <xdr:nvSpPr>
          <xdr:cNvPr id="3785" name="R013L"/>
          <xdr:cNvSpPr/>
        </xdr:nvSpPr>
        <xdr:spPr bwMode="auto">
          <a:xfrm>
            <a:off x="17802225" y="200215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9_Click" textlink="">
        <xdr:nvSpPr>
          <xdr:cNvPr id="3786" name="R013R"/>
          <xdr:cNvSpPr/>
        </xdr:nvSpPr>
        <xdr:spPr bwMode="auto">
          <a:xfrm>
            <a:off x="12696825" y="20021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9_Click">
        <xdr:nvCxnSpPr>
          <xdr:cNvPr id="3787" name="R013C"/>
          <xdr:cNvCxnSpPr>
            <a:stCxn id="3785" idx="1"/>
            <a:endCxn id="3786" idx="3"/>
          </xdr:cNvCxnSpPr>
        </xdr:nvCxnSpPr>
        <xdr:spPr bwMode="auto">
          <a:xfrm flipH="1">
            <a:off x="12830175" y="200787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9_Click" textlink="">
        <xdr:nvSpPr>
          <xdr:cNvPr id="3788" name="R013T"/>
          <xdr:cNvSpPr txBox="1"/>
        </xdr:nvSpPr>
        <xdr:spPr>
          <a:xfrm>
            <a:off x="16475516" y="19922182"/>
            <a:ext cx="132677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59.// Recall Cooked Recipes</a:t>
            </a:r>
          </a:p>
        </xdr:txBody>
      </xdr:sp>
    </xdr:grpSp>
    <xdr:clientData/>
  </xdr:twoCellAnchor>
  <xdr:twoCellAnchor>
    <xdr:from>
      <xdr:col>0</xdr:col>
      <xdr:colOff>1209675</xdr:colOff>
      <xdr:row>62</xdr:row>
      <xdr:rowOff>167332</xdr:rowOff>
    </xdr:from>
    <xdr:to>
      <xdr:col>10</xdr:col>
      <xdr:colOff>66675</xdr:colOff>
      <xdr:row>63</xdr:row>
      <xdr:rowOff>57150</xdr:rowOff>
    </xdr:to>
    <xdr:grpSp>
      <xdr:nvGrpSpPr>
        <xdr:cNvPr id="3794" name="X017"/>
        <xdr:cNvGrpSpPr/>
      </xdr:nvGrpSpPr>
      <xdr:grpSpPr>
        <a:xfrm>
          <a:off x="1209675" y="20098395"/>
          <a:ext cx="11596688" cy="211286"/>
          <a:chOff x="1209675" y="20246032"/>
          <a:chExt cx="11620500" cy="213668"/>
        </a:xfrm>
      </xdr:grpSpPr>
      <xdr:sp macro="Mov060_Click" textlink="">
        <xdr:nvSpPr>
          <xdr:cNvPr id="3790" name="X017L"/>
          <xdr:cNvSpPr/>
        </xdr:nvSpPr>
        <xdr:spPr bwMode="auto">
          <a:xfrm>
            <a:off x="12696825" y="203454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60_Click" textlink="">
        <xdr:nvSpPr>
          <xdr:cNvPr id="3791" name="X017R"/>
          <xdr:cNvSpPr/>
        </xdr:nvSpPr>
        <xdr:spPr bwMode="auto">
          <a:xfrm>
            <a:off x="1209675" y="20345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60_Click">
        <xdr:nvCxnSpPr>
          <xdr:cNvPr id="3792" name="X017C"/>
          <xdr:cNvCxnSpPr>
            <a:stCxn id="3790" idx="1"/>
            <a:endCxn id="3791" idx="3"/>
          </xdr:cNvCxnSpPr>
        </xdr:nvCxnSpPr>
        <xdr:spPr bwMode="auto">
          <a:xfrm flipH="1">
            <a:off x="1343025" y="204025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60_Click" textlink="">
        <xdr:nvSpPr>
          <xdr:cNvPr id="3793" name="X017T"/>
          <xdr:cNvSpPr txBox="1"/>
        </xdr:nvSpPr>
        <xdr:spPr>
          <a:xfrm>
            <a:off x="11399226" y="20246032"/>
            <a:ext cx="129766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60.// Show Cooked Recipes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26</xdr:row>
      <xdr:rowOff>28574</xdr:rowOff>
    </xdr:from>
    <xdr:to>
      <xdr:col>18</xdr:col>
      <xdr:colOff>419100</xdr:colOff>
      <xdr:row>27</xdr:row>
      <xdr:rowOff>9524</xdr:rowOff>
    </xdr:to>
    <xdr:sp macro="[0]!ExportCount" textlink="">
      <xdr:nvSpPr>
        <xdr:cNvPr id="29" name="Bevel 28"/>
        <xdr:cNvSpPr/>
      </xdr:nvSpPr>
      <xdr:spPr bwMode="auto">
        <a:xfrm>
          <a:off x="10439400" y="4238624"/>
          <a:ext cx="895350" cy="238125"/>
        </a:xfrm>
        <a:prstGeom prst="bevel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50" b="1" i="0">
              <a:solidFill>
                <a:schemeClr val="bg1"/>
              </a:solidFill>
              <a:latin typeface="Arial Narrow" panose="020B0606020202030204" pitchFamily="34" charset="0"/>
            </a:rPr>
            <a:t>Export Count</a:t>
          </a:r>
        </a:p>
      </xdr:txBody>
    </xdr:sp>
    <xdr:clientData/>
  </xdr:twoCellAnchor>
  <xdr:twoCellAnchor>
    <xdr:from>
      <xdr:col>17</xdr:col>
      <xdr:colOff>57150</xdr:colOff>
      <xdr:row>27</xdr:row>
      <xdr:rowOff>28574</xdr:rowOff>
    </xdr:from>
    <xdr:to>
      <xdr:col>18</xdr:col>
      <xdr:colOff>419100</xdr:colOff>
      <xdr:row>28</xdr:row>
      <xdr:rowOff>9524</xdr:rowOff>
    </xdr:to>
    <xdr:sp macro="[0]!ImportCount" textlink="">
      <xdr:nvSpPr>
        <xdr:cNvPr id="30" name="Bevel 29"/>
        <xdr:cNvSpPr/>
      </xdr:nvSpPr>
      <xdr:spPr bwMode="auto">
        <a:xfrm>
          <a:off x="10439400" y="4495799"/>
          <a:ext cx="895350" cy="238125"/>
        </a:xfrm>
        <a:prstGeom prst="bevel">
          <a:avLst/>
        </a:prstGeom>
        <a:solidFill>
          <a:schemeClr val="accent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050" b="1" i="0">
              <a:latin typeface="Arial Narrow" panose="020B0606020202030204" pitchFamily="34" charset="0"/>
            </a:rPr>
            <a:t>Import Count</a:t>
          </a:r>
        </a:p>
      </xdr:txBody>
    </xdr:sp>
    <xdr:clientData/>
  </xdr:twoCellAnchor>
  <xdr:twoCellAnchor editAs="oneCell">
    <xdr:from>
      <xdr:col>5</xdr:col>
      <xdr:colOff>200025</xdr:colOff>
      <xdr:row>4</xdr:row>
      <xdr:rowOff>142875</xdr:rowOff>
    </xdr:from>
    <xdr:to>
      <xdr:col>7</xdr:col>
      <xdr:colOff>102489</xdr:colOff>
      <xdr:row>6</xdr:row>
      <xdr:rowOff>139065</xdr:rowOff>
    </xdr:to>
    <xdr:sp macro="" textlink="">
      <xdr:nvSpPr>
        <xdr:cNvPr id="2" name="FunctionalProcessShape"/>
        <xdr:cNvSpPr txBox="1">
          <a:spLocks noChangeArrowheads="1"/>
        </xdr:cNvSpPr>
      </xdr:nvSpPr>
      <xdr:spPr bwMode="auto">
        <a:xfrm>
          <a:off x="2867025" y="790575"/>
          <a:ext cx="969264" cy="320040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>
              <a:latin typeface="Arial Narrow" pitchFamily="34" charset="0"/>
              <a:cs typeface="Calibri" pitchFamily="34" charset="0"/>
            </a:rPr>
            <a:t>Functional Process</a:t>
          </a:r>
        </a:p>
      </xdr:txBody>
    </xdr:sp>
    <xdr:clientData/>
  </xdr:twoCellAnchor>
  <xdr:twoCellAnchor editAs="oneCell">
    <xdr:from>
      <xdr:col>5</xdr:col>
      <xdr:colOff>200025</xdr:colOff>
      <xdr:row>11</xdr:row>
      <xdr:rowOff>43368</xdr:rowOff>
    </xdr:from>
    <xdr:to>
      <xdr:col>7</xdr:col>
      <xdr:colOff>102489</xdr:colOff>
      <xdr:row>13</xdr:row>
      <xdr:rowOff>39558</xdr:rowOff>
    </xdr:to>
    <xdr:sp macro="" textlink="">
      <xdr:nvSpPr>
        <xdr:cNvPr id="6" name="PersistentDataShape"/>
        <xdr:cNvSpPr txBox="1">
          <a:spLocks noChangeArrowheads="1"/>
        </xdr:cNvSpPr>
      </xdr:nvSpPr>
      <xdr:spPr bwMode="auto">
        <a:xfrm>
          <a:off x="2867025" y="1824543"/>
          <a:ext cx="969264" cy="320040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overflow" horzOverflow="overflow" wrap="non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>
              <a:latin typeface="Arial Narrow" pitchFamily="34" charset="0"/>
              <a:cs typeface="Calibri" pitchFamily="34" charset="0"/>
            </a:rPr>
            <a:t>Persistent Data</a:t>
          </a:r>
        </a:p>
      </xdr:txBody>
    </xdr:sp>
    <xdr:clientData/>
  </xdr:twoCellAnchor>
  <xdr:twoCellAnchor editAs="oneCell">
    <xdr:from>
      <xdr:col>8</xdr:col>
      <xdr:colOff>266700</xdr:colOff>
      <xdr:row>4</xdr:row>
      <xdr:rowOff>142875</xdr:rowOff>
    </xdr:from>
    <xdr:to>
      <xdr:col>10</xdr:col>
      <xdr:colOff>169164</xdr:colOff>
      <xdr:row>6</xdr:row>
      <xdr:rowOff>139065</xdr:rowOff>
    </xdr:to>
    <xdr:sp macro="" textlink="">
      <xdr:nvSpPr>
        <xdr:cNvPr id="7" name="ApplicationUserShape"/>
        <xdr:cNvSpPr>
          <a:spLocks noChangeArrowheads="1"/>
        </xdr:cNvSpPr>
      </xdr:nvSpPr>
      <xdr:spPr bwMode="auto">
        <a:xfrm>
          <a:off x="4533900" y="790575"/>
          <a:ext cx="969264" cy="320040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overflow" horzOverflow="overflow" wrap="non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</a:pPr>
          <a:r>
            <a:rPr lang="en-US" sz="1000" b="0">
              <a:solidFill>
                <a:srgbClr val="654321"/>
              </a:solidFill>
              <a:latin typeface="Arial Narrow" pitchFamily="34" charset="0"/>
              <a:cs typeface="Calibri" pitchFamily="34" charset="0"/>
            </a:rPr>
            <a:t>Application User</a:t>
          </a:r>
        </a:p>
      </xdr:txBody>
    </xdr:sp>
    <xdr:clientData/>
  </xdr:twoCellAnchor>
  <xdr:twoCellAnchor editAs="oneCell">
    <xdr:from>
      <xdr:col>2</xdr:col>
      <xdr:colOff>133350</xdr:colOff>
      <xdr:row>4</xdr:row>
      <xdr:rowOff>142875</xdr:rowOff>
    </xdr:from>
    <xdr:to>
      <xdr:col>4</xdr:col>
      <xdr:colOff>35814</xdr:colOff>
      <xdr:row>6</xdr:row>
      <xdr:rowOff>139065</xdr:rowOff>
    </xdr:to>
    <xdr:sp macro="" textlink="">
      <xdr:nvSpPr>
        <xdr:cNvPr id="8" name="DeviceUserShape"/>
        <xdr:cNvSpPr txBox="1">
          <a:spLocks noChangeArrowheads="1"/>
        </xdr:cNvSpPr>
      </xdr:nvSpPr>
      <xdr:spPr bwMode="auto">
        <a:xfrm>
          <a:off x="1200150" y="790575"/>
          <a:ext cx="969264" cy="320040"/>
        </a:xfrm>
        <a:custGeom>
          <a:avLst/>
          <a:gdLst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78 h 10078"/>
            <a:gd name="connsiteX1" fmla="*/ 987 w 10000"/>
            <a:gd name="connsiteY1" fmla="*/ 0 h 10078"/>
            <a:gd name="connsiteX2" fmla="*/ 10000 w 10000"/>
            <a:gd name="connsiteY2" fmla="*/ 78 h 10078"/>
            <a:gd name="connsiteX3" fmla="*/ 8000 w 10000"/>
            <a:gd name="connsiteY3" fmla="*/ 10078 h 10078"/>
            <a:gd name="connsiteX4" fmla="*/ 0 w 10000"/>
            <a:gd name="connsiteY4" fmla="*/ 10078 h 10078"/>
            <a:gd name="connsiteX0" fmla="*/ 0 w 10000"/>
            <a:gd name="connsiteY0" fmla="*/ 10078 h 10078"/>
            <a:gd name="connsiteX1" fmla="*/ 987 w 10000"/>
            <a:gd name="connsiteY1" fmla="*/ 0 h 10078"/>
            <a:gd name="connsiteX2" fmla="*/ 10000 w 10000"/>
            <a:gd name="connsiteY2" fmla="*/ 78 h 10078"/>
            <a:gd name="connsiteX3" fmla="*/ 9013 w 10000"/>
            <a:gd name="connsiteY3" fmla="*/ 10078 h 10078"/>
            <a:gd name="connsiteX4" fmla="*/ 0 w 10000"/>
            <a:gd name="connsiteY4" fmla="*/ 10078 h 10078"/>
            <a:gd name="connsiteX0" fmla="*/ 0 w 10000"/>
            <a:gd name="connsiteY0" fmla="*/ 10000 h 10000"/>
            <a:gd name="connsiteX1" fmla="*/ 987 w 10000"/>
            <a:gd name="connsiteY1" fmla="*/ 78 h 10000"/>
            <a:gd name="connsiteX2" fmla="*/ 10000 w 10000"/>
            <a:gd name="connsiteY2" fmla="*/ 0 h 10000"/>
            <a:gd name="connsiteX3" fmla="*/ 9013 w 10000"/>
            <a:gd name="connsiteY3" fmla="*/ 10000 h 10000"/>
            <a:gd name="connsiteX4" fmla="*/ 0 w 10000"/>
            <a:gd name="connsiteY4" fmla="*/ 1000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0" h="10000">
              <a:moveTo>
                <a:pt x="0" y="10000"/>
              </a:moveTo>
              <a:lnTo>
                <a:pt x="987" y="78"/>
              </a:lnTo>
              <a:lnTo>
                <a:pt x="10000" y="0"/>
              </a:lnTo>
              <a:lnTo>
                <a:pt x="9013" y="10000"/>
              </a:lnTo>
              <a:lnTo>
                <a:pt x="0" y="10000"/>
              </a:lnTo>
              <a:close/>
            </a:path>
          </a:pathLst>
        </a:custGeom>
        <a:gradFill rotWithShape="0">
          <a:gsLst>
            <a:gs pos="0">
              <a:srgbClr val="FCE599"/>
            </a:gs>
            <a:gs pos="50000">
              <a:srgbClr val="FFC000"/>
            </a:gs>
            <a:gs pos="100000">
              <a:srgbClr val="FCE599"/>
            </a:gs>
          </a:gsLst>
          <a:lin ang="5400000" scaled="1"/>
        </a:gradFill>
        <a:ln w="9525" algn="ctr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overflow" horzOverflow="overflow"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en-US" sz="1000" kern="1200">
              <a:solidFill>
                <a:schemeClr val="tx1"/>
              </a:solidFill>
              <a:latin typeface="Arial Narrow" pitchFamily="34" charset="0"/>
              <a:ea typeface="+mn-ea"/>
              <a:cs typeface="Arial" charset="0"/>
            </a:rPr>
            <a:t>Device User</a:t>
          </a:r>
        </a:p>
      </xdr:txBody>
    </xdr:sp>
    <xdr:clientData/>
  </xdr:twoCellAnchor>
  <xdr:twoCellAnchor>
    <xdr:from>
      <xdr:col>0</xdr:col>
      <xdr:colOff>80718</xdr:colOff>
      <xdr:row>0</xdr:row>
      <xdr:rowOff>85725</xdr:rowOff>
    </xdr:from>
    <xdr:to>
      <xdr:col>1</xdr:col>
      <xdr:colOff>427281</xdr:colOff>
      <xdr:row>4</xdr:row>
      <xdr:rowOff>36031</xdr:rowOff>
    </xdr:to>
    <xdr:grpSp>
      <xdr:nvGrpSpPr>
        <xdr:cNvPr id="5" name="TriggerShape"/>
        <xdr:cNvGrpSpPr/>
      </xdr:nvGrpSpPr>
      <xdr:grpSpPr>
        <a:xfrm>
          <a:off x="80718" y="85725"/>
          <a:ext cx="460863" cy="598006"/>
          <a:chOff x="80718" y="85725"/>
          <a:chExt cx="460863" cy="598006"/>
        </a:xfrm>
      </xdr:grpSpPr>
      <xdr:sp macro="" textlink="">
        <xdr:nvSpPr>
          <xdr:cNvPr id="9" name="SmileyLabel"/>
          <xdr:cNvSpPr txBox="1">
            <a:spLocks noChangeArrowheads="1"/>
          </xdr:cNvSpPr>
        </xdr:nvSpPr>
        <xdr:spPr bwMode="auto">
          <a:xfrm>
            <a:off x="80718" y="536575"/>
            <a:ext cx="460863" cy="14715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overflow" horzOverflow="overflow" wrap="none" lIns="0" tIns="0" rIns="0" bIns="0" anchor="ctr" anchorCtr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0">
                <a:latin typeface="Arial Narrow" pitchFamily="34" charset="0"/>
              </a:rPr>
              <a:t>Trigger</a:t>
            </a:r>
          </a:p>
        </xdr:txBody>
      </xdr:sp>
      <xdr:sp macro="" textlink="">
        <xdr:nvSpPr>
          <xdr:cNvPr id="10" name="SmileyShape"/>
          <xdr:cNvSpPr>
            <a:spLocks noChangeArrowheads="1"/>
          </xdr:cNvSpPr>
        </xdr:nvSpPr>
        <xdr:spPr bwMode="auto">
          <a:xfrm>
            <a:off x="85725" y="85725"/>
            <a:ext cx="450850" cy="450850"/>
          </a:xfrm>
          <a:prstGeom prst="smileyFace">
            <a:avLst>
              <a:gd name="adj" fmla="val 4653"/>
            </a:avLst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 sz="1000" b="0">
              <a:latin typeface="Arial Narrow" pitchFamily="34" charset="0"/>
            </a:endParaRPr>
          </a:p>
        </xdr:txBody>
      </xdr:sp>
    </xdr:grpSp>
    <xdr:clientData/>
  </xdr:twoCellAnchor>
  <xdr:twoCellAnchor>
    <xdr:from>
      <xdr:col>4</xdr:col>
      <xdr:colOff>47625</xdr:colOff>
      <xdr:row>5</xdr:row>
      <xdr:rowOff>64770</xdr:rowOff>
    </xdr:from>
    <xdr:to>
      <xdr:col>5</xdr:col>
      <xdr:colOff>200025</xdr:colOff>
      <xdr:row>5</xdr:row>
      <xdr:rowOff>66676</xdr:rowOff>
    </xdr:to>
    <xdr:cxnSp macro="">
      <xdr:nvCxnSpPr>
        <xdr:cNvPr id="12" name="Entry from Device"/>
        <xdr:cNvCxnSpPr/>
      </xdr:nvCxnSpPr>
      <xdr:spPr bwMode="auto">
        <a:xfrm flipV="1">
          <a:off x="2181225" y="874395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tx2">
              <a:lumMod val="100000"/>
            </a:schemeClr>
          </a:solidFill>
          <a:prstDash val="solid"/>
          <a:round/>
          <a:headEnd type="none" w="med" len="med"/>
          <a:tailEnd type="triangle" w="med" len="med"/>
        </a:ln>
        <a:effectLst/>
        <a:extLst/>
      </xdr:spPr>
    </xdr:cxnSp>
    <xdr:clientData/>
  </xdr:twoCellAnchor>
  <xdr:twoCellAnchor>
    <xdr:from>
      <xdr:col>4</xdr:col>
      <xdr:colOff>57150</xdr:colOff>
      <xdr:row>6</xdr:row>
      <xdr:rowOff>83820</xdr:rowOff>
    </xdr:from>
    <xdr:to>
      <xdr:col>5</xdr:col>
      <xdr:colOff>209550</xdr:colOff>
      <xdr:row>6</xdr:row>
      <xdr:rowOff>85726</xdr:rowOff>
    </xdr:to>
    <xdr:cxnSp macro="">
      <xdr:nvCxnSpPr>
        <xdr:cNvPr id="16" name="eXit to Device"/>
        <xdr:cNvCxnSpPr/>
      </xdr:nvCxnSpPr>
      <xdr:spPr bwMode="auto">
        <a:xfrm flipH="1" flipV="1">
          <a:off x="1771650" y="1055370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accent5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123825</xdr:colOff>
      <xdr:row>5</xdr:row>
      <xdr:rowOff>74295</xdr:rowOff>
    </xdr:from>
    <xdr:to>
      <xdr:col>8</xdr:col>
      <xdr:colOff>276225</xdr:colOff>
      <xdr:row>5</xdr:row>
      <xdr:rowOff>76201</xdr:rowOff>
    </xdr:to>
    <xdr:cxnSp macro="">
      <xdr:nvCxnSpPr>
        <xdr:cNvPr id="17" name="eXit to Application"/>
        <xdr:cNvCxnSpPr/>
      </xdr:nvCxnSpPr>
      <xdr:spPr bwMode="auto">
        <a:xfrm flipV="1">
          <a:off x="3857625" y="883920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accent3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123825</xdr:colOff>
      <xdr:row>6</xdr:row>
      <xdr:rowOff>64770</xdr:rowOff>
    </xdr:from>
    <xdr:to>
      <xdr:col>8</xdr:col>
      <xdr:colOff>276225</xdr:colOff>
      <xdr:row>6</xdr:row>
      <xdr:rowOff>66676</xdr:rowOff>
    </xdr:to>
    <xdr:cxnSp macro="">
      <xdr:nvCxnSpPr>
        <xdr:cNvPr id="18" name="Entry from Application"/>
        <xdr:cNvCxnSpPr/>
      </xdr:nvCxnSpPr>
      <xdr:spPr bwMode="auto">
        <a:xfrm flipH="1" flipV="1">
          <a:off x="3857625" y="1036320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56197</xdr:colOff>
      <xdr:row>7</xdr:row>
      <xdr:rowOff>27623</xdr:rowOff>
    </xdr:from>
    <xdr:to>
      <xdr:col>6</xdr:col>
      <xdr:colOff>58103</xdr:colOff>
      <xdr:row>11</xdr:row>
      <xdr:rowOff>65723</xdr:rowOff>
    </xdr:to>
    <xdr:cxnSp macro="">
      <xdr:nvCxnSpPr>
        <xdr:cNvPr id="19" name="Write to Store"/>
        <xdr:cNvCxnSpPr/>
      </xdr:nvCxnSpPr>
      <xdr:spPr bwMode="auto">
        <a:xfrm rot="5400000" flipV="1">
          <a:off x="2914650" y="1503045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265747</xdr:colOff>
      <xdr:row>7</xdr:row>
      <xdr:rowOff>27623</xdr:rowOff>
    </xdr:from>
    <xdr:to>
      <xdr:col>6</xdr:col>
      <xdr:colOff>267653</xdr:colOff>
      <xdr:row>11</xdr:row>
      <xdr:rowOff>65723</xdr:rowOff>
    </xdr:to>
    <xdr:cxnSp macro="">
      <xdr:nvCxnSpPr>
        <xdr:cNvPr id="20" name="Read from Store"/>
        <xdr:cNvCxnSpPr/>
      </xdr:nvCxnSpPr>
      <xdr:spPr bwMode="auto">
        <a:xfrm rot="5400000" flipH="1" flipV="1">
          <a:off x="3124200" y="1503045"/>
          <a:ext cx="685800" cy="190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196849</xdr:colOff>
      <xdr:row>4</xdr:row>
      <xdr:rowOff>36031</xdr:rowOff>
    </xdr:from>
    <xdr:to>
      <xdr:col>2</xdr:col>
      <xdr:colOff>180974</xdr:colOff>
      <xdr:row>5</xdr:row>
      <xdr:rowOff>133350</xdr:rowOff>
    </xdr:to>
    <xdr:cxnSp macro="">
      <xdr:nvCxnSpPr>
        <xdr:cNvPr id="11" name="Elbow Connector 10"/>
        <xdr:cNvCxnSpPr>
          <a:stCxn id="9" idx="2"/>
        </xdr:cNvCxnSpPr>
      </xdr:nvCxnSpPr>
      <xdr:spPr bwMode="auto">
        <a:xfrm rot="16200000" flipH="1">
          <a:off x="440290" y="554590"/>
          <a:ext cx="259244" cy="517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4</xdr:col>
      <xdr:colOff>133006</xdr:colOff>
      <xdr:row>3</xdr:row>
      <xdr:rowOff>76200</xdr:rowOff>
    </xdr:from>
    <xdr:ext cx="454612" cy="254172"/>
    <xdr:sp macro="" textlink="">
      <xdr:nvSpPr>
        <xdr:cNvPr id="4" name="TextBox 3"/>
        <xdr:cNvSpPr txBox="1"/>
      </xdr:nvSpPr>
      <xdr:spPr>
        <a:xfrm>
          <a:off x="1847506" y="561975"/>
          <a:ext cx="454612" cy="2541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Arial Narrow" pitchFamily="34" charset="0"/>
            </a:rPr>
            <a:t>E</a:t>
          </a:r>
          <a:r>
            <a:rPr lang="en-US" sz="1100">
              <a:latin typeface="Arial Narrow" pitchFamily="34" charset="0"/>
            </a:rPr>
            <a:t>ntry</a:t>
          </a:r>
        </a:p>
      </xdr:txBody>
    </xdr:sp>
    <xdr:clientData/>
  </xdr:oneCellAnchor>
  <xdr:oneCellAnchor>
    <xdr:from>
      <xdr:col>7</xdr:col>
      <xdr:colOff>228600</xdr:colOff>
      <xdr:row>6</xdr:row>
      <xdr:rowOff>152465</xdr:rowOff>
    </xdr:from>
    <xdr:ext cx="454612" cy="254172"/>
    <xdr:sp macro="" textlink="">
      <xdr:nvSpPr>
        <xdr:cNvPr id="21" name="TextBox 20"/>
        <xdr:cNvSpPr txBox="1"/>
      </xdr:nvSpPr>
      <xdr:spPr>
        <a:xfrm>
          <a:off x="3543300" y="1124015"/>
          <a:ext cx="454612" cy="2541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Arial Narrow" pitchFamily="34" charset="0"/>
            </a:rPr>
            <a:t>E</a:t>
          </a:r>
          <a:r>
            <a:rPr lang="en-US" sz="1100">
              <a:latin typeface="Arial Narrow" pitchFamily="34" charset="0"/>
            </a:rPr>
            <a:t>ntry</a:t>
          </a:r>
        </a:p>
      </xdr:txBody>
    </xdr:sp>
    <xdr:clientData/>
  </xdr:oneCellAnchor>
  <xdr:oneCellAnchor>
    <xdr:from>
      <xdr:col>7</xdr:col>
      <xdr:colOff>257519</xdr:colOff>
      <xdr:row>3</xdr:row>
      <xdr:rowOff>76200</xdr:rowOff>
    </xdr:from>
    <xdr:ext cx="396775" cy="254237"/>
    <xdr:sp macro="" textlink="">
      <xdr:nvSpPr>
        <xdr:cNvPr id="22" name="TextBox 21"/>
        <xdr:cNvSpPr txBox="1"/>
      </xdr:nvSpPr>
      <xdr:spPr>
        <a:xfrm>
          <a:off x="3572219" y="561975"/>
          <a:ext cx="396775" cy="2542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>
              <a:latin typeface="Arial Narrow" pitchFamily="34" charset="0"/>
            </a:rPr>
            <a:t>e</a:t>
          </a:r>
          <a:r>
            <a:rPr lang="en-US" sz="1100" b="1">
              <a:latin typeface="Arial Narrow" pitchFamily="34" charset="0"/>
            </a:rPr>
            <a:t>X</a:t>
          </a:r>
          <a:r>
            <a:rPr lang="en-US" sz="1100" b="0">
              <a:latin typeface="Arial Narrow" pitchFamily="34" charset="0"/>
            </a:rPr>
            <a:t>it</a:t>
          </a:r>
        </a:p>
      </xdr:txBody>
    </xdr:sp>
    <xdr:clientData/>
  </xdr:oneCellAnchor>
  <xdr:oneCellAnchor>
    <xdr:from>
      <xdr:col>4</xdr:col>
      <xdr:colOff>161925</xdr:colOff>
      <xdr:row>6</xdr:row>
      <xdr:rowOff>152400</xdr:rowOff>
    </xdr:from>
    <xdr:ext cx="396775" cy="254237"/>
    <xdr:sp macro="" textlink="">
      <xdr:nvSpPr>
        <xdr:cNvPr id="23" name="TextBox 22"/>
        <xdr:cNvSpPr txBox="1"/>
      </xdr:nvSpPr>
      <xdr:spPr>
        <a:xfrm>
          <a:off x="1876425" y="1123950"/>
          <a:ext cx="396775" cy="2542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>
              <a:latin typeface="Arial Narrow" pitchFamily="34" charset="0"/>
            </a:rPr>
            <a:t>e</a:t>
          </a:r>
          <a:r>
            <a:rPr lang="en-US" sz="1100" b="1">
              <a:latin typeface="Arial Narrow" pitchFamily="34" charset="0"/>
            </a:rPr>
            <a:t>X</a:t>
          </a:r>
          <a:r>
            <a:rPr lang="en-US" sz="1100" b="0">
              <a:latin typeface="Arial Narrow" pitchFamily="34" charset="0"/>
            </a:rPr>
            <a:t>it</a:t>
          </a:r>
        </a:p>
      </xdr:txBody>
    </xdr:sp>
    <xdr:clientData/>
  </xdr:oneCellAnchor>
  <xdr:oneCellAnchor>
    <xdr:from>
      <xdr:col>5</xdr:col>
      <xdr:colOff>113956</xdr:colOff>
      <xdr:row>8</xdr:row>
      <xdr:rowOff>76200</xdr:rowOff>
    </xdr:from>
    <xdr:ext cx="454548" cy="254237"/>
    <xdr:sp macro="" textlink="">
      <xdr:nvSpPr>
        <xdr:cNvPr id="24" name="TextBox 23"/>
        <xdr:cNvSpPr txBox="1"/>
      </xdr:nvSpPr>
      <xdr:spPr>
        <a:xfrm>
          <a:off x="2361856" y="1371600"/>
          <a:ext cx="454548" cy="2542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Arial Narrow" pitchFamily="34" charset="0"/>
            </a:rPr>
            <a:t>W</a:t>
          </a:r>
          <a:r>
            <a:rPr lang="en-US" sz="1100">
              <a:latin typeface="Arial Narrow" pitchFamily="34" charset="0"/>
            </a:rPr>
            <a:t>rite</a:t>
          </a:r>
        </a:p>
      </xdr:txBody>
    </xdr:sp>
    <xdr:clientData/>
  </xdr:oneCellAnchor>
  <xdr:oneCellAnchor>
    <xdr:from>
      <xdr:col>6</xdr:col>
      <xdr:colOff>266356</xdr:colOff>
      <xdr:row>8</xdr:row>
      <xdr:rowOff>76200</xdr:rowOff>
    </xdr:from>
    <xdr:ext cx="461088" cy="254237"/>
    <xdr:sp macro="" textlink="">
      <xdr:nvSpPr>
        <xdr:cNvPr id="25" name="TextBox 24"/>
        <xdr:cNvSpPr txBox="1"/>
      </xdr:nvSpPr>
      <xdr:spPr>
        <a:xfrm>
          <a:off x="3047656" y="1371600"/>
          <a:ext cx="461088" cy="2542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Arial Narrow" pitchFamily="34" charset="0"/>
            </a:rPr>
            <a:t>R</a:t>
          </a:r>
          <a:r>
            <a:rPr lang="en-US" sz="1100">
              <a:latin typeface="Arial Narrow" pitchFamily="34" charset="0"/>
            </a:rPr>
            <a:t>ead</a:t>
          </a:r>
        </a:p>
      </xdr:txBody>
    </xdr:sp>
    <xdr:clientData/>
  </xdr:oneCellAnchor>
  <xdr:twoCellAnchor>
    <xdr:from>
      <xdr:col>9</xdr:col>
      <xdr:colOff>200026</xdr:colOff>
      <xdr:row>6</xdr:row>
      <xdr:rowOff>148591</xdr:rowOff>
    </xdr:from>
    <xdr:to>
      <xdr:col>9</xdr:col>
      <xdr:colOff>217932</xdr:colOff>
      <xdr:row>23</xdr:row>
      <xdr:rowOff>95251</xdr:rowOff>
    </xdr:to>
    <xdr:cxnSp macro="">
      <xdr:nvCxnSpPr>
        <xdr:cNvPr id="15" name="ColPositionLine"/>
        <xdr:cNvCxnSpPr/>
      </xdr:nvCxnSpPr>
      <xdr:spPr bwMode="auto">
        <a:xfrm flipH="1">
          <a:off x="4581526" y="1120141"/>
          <a:ext cx="17906" cy="22136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3</xdr:col>
      <xdr:colOff>66676</xdr:colOff>
      <xdr:row>6</xdr:row>
      <xdr:rowOff>148591</xdr:rowOff>
    </xdr:from>
    <xdr:to>
      <xdr:col>3</xdr:col>
      <xdr:colOff>84582</xdr:colOff>
      <xdr:row>23</xdr:row>
      <xdr:rowOff>95251</xdr:rowOff>
    </xdr:to>
    <xdr:cxnSp macro="">
      <xdr:nvCxnSpPr>
        <xdr:cNvPr id="26" name="ColPositionLine2"/>
        <xdr:cNvCxnSpPr/>
      </xdr:nvCxnSpPr>
      <xdr:spPr bwMode="auto">
        <a:xfrm flipH="1">
          <a:off x="1247776" y="1120141"/>
          <a:ext cx="17906" cy="22136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oneCellAnchor>
    <xdr:from>
      <xdr:col>11</xdr:col>
      <xdr:colOff>0</xdr:colOff>
      <xdr:row>1</xdr:row>
      <xdr:rowOff>0</xdr:rowOff>
    </xdr:from>
    <xdr:ext cx="5912388" cy="3600450"/>
    <xdr:sp macro="" textlink="">
      <xdr:nvSpPr>
        <xdr:cNvPr id="27" name="TextBox 26"/>
        <xdr:cNvSpPr txBox="1"/>
      </xdr:nvSpPr>
      <xdr:spPr>
        <a:xfrm>
          <a:off x="5448300" y="161925"/>
          <a:ext cx="5912388" cy="36004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182880" tIns="91440" rIns="182880" bIns="91440" rtlCol="0" anchor="t">
          <a:noAutofit/>
        </a:bodyPr>
        <a:lstStyle/>
        <a:p>
          <a:endParaRPr lang="en-US" sz="600">
            <a:latin typeface="Arial Rounded MT Bold" pitchFamily="34" charset="0"/>
          </a:endParaRPr>
        </a:p>
        <a:p>
          <a:r>
            <a:rPr lang="en-US" sz="1100">
              <a:latin typeface="Arial Rounded MT Bold" pitchFamily="34" charset="0"/>
            </a:rPr>
            <a:t>About Using this Tool</a:t>
          </a:r>
        </a:p>
        <a:p>
          <a:endParaRPr lang="en-US" sz="1100">
            <a:latin typeface="Arial Narrow" pitchFamily="34" charset="0"/>
          </a:endParaRPr>
        </a:p>
        <a:p>
          <a:r>
            <a:rPr lang="en-US" sz="1100">
              <a:latin typeface="Arial Narrow" pitchFamily="34" charset="0"/>
            </a:rPr>
            <a:t>You can  adapt colors, line characteristics, but not preset shape</a:t>
          </a:r>
          <a:r>
            <a:rPr lang="en-US" sz="1100" baseline="0">
              <a:latin typeface="Arial Narrow" pitchFamily="34" charset="0"/>
            </a:rPr>
            <a:t> types ("the smiley remains  a smiley...")</a:t>
          </a:r>
        </a:p>
        <a:p>
          <a:r>
            <a:rPr lang="en-US" sz="1100" baseline="0">
              <a:latin typeface="Arial Narrow" pitchFamily="34" charset="0"/>
            </a:rPr>
            <a:t>on this sheet. All newly created objects will be affected. You can specify labels, add a description (shown</a:t>
          </a:r>
        </a:p>
        <a:p>
          <a:r>
            <a:rPr lang="en-US" sz="1100" baseline="0">
              <a:latin typeface="Arial Narrow" pitchFamily="34" charset="0"/>
            </a:rPr>
            <a:t>on the data sheets only), add and delete user devices, application devices, functional processes, and  </a:t>
          </a:r>
        </a:p>
        <a:p>
          <a:r>
            <a:rPr lang="en-US" sz="1100" baseline="0">
              <a:latin typeface="Arial Narrow" pitchFamily="34" charset="0"/>
            </a:rPr>
            <a:t>Persistent Data storages on the top row. Then you create Data Movements , either by clicking position </a:t>
          </a:r>
        </a:p>
        <a:p>
          <a:r>
            <a:rPr lang="en-US" sz="1100" baseline="0">
              <a:latin typeface="Arial Narrow" pitchFamily="34" charset="0"/>
            </a:rPr>
            <a:t>lines, first origin, then destination, or using the "New.." button in the respective dialog form. </a:t>
          </a:r>
        </a:p>
        <a:p>
          <a:endParaRPr lang="en-US" sz="1100" baseline="0">
            <a:latin typeface="Arial Narrow" pitchFamily="34" charset="0"/>
          </a:endParaRPr>
        </a:p>
        <a:p>
          <a:r>
            <a:rPr lang="en-US" sz="1100" baseline="0">
              <a:latin typeface="Arial Narrow" pitchFamily="34" charset="0"/>
            </a:rPr>
            <a:t>Selected objects are highlighted, also selected origins and (applicable) destination position lines.</a:t>
          </a:r>
        </a:p>
        <a:p>
          <a:endParaRPr lang="en-US" sz="1100" baseline="0">
            <a:latin typeface="Arial Narrow" pitchFamily="34" charset="0"/>
          </a:endParaRPr>
        </a:p>
        <a:p>
          <a:r>
            <a:rPr lang="en-US" sz="1100">
              <a:latin typeface="Arial Narrow" pitchFamily="34" charset="0"/>
            </a:rPr>
            <a:t>Counting checks four COSMIC rules</a:t>
          </a:r>
          <a:r>
            <a:rPr lang="en-US" sz="1100" baseline="0">
              <a:latin typeface="Arial Narrow" pitchFamily="34" charset="0"/>
            </a:rPr>
            <a:t> pertaining to Data Movements; below there is an option to enforce</a:t>
          </a:r>
        </a:p>
        <a:p>
          <a:r>
            <a:rPr lang="en-US" sz="1100" baseline="0">
              <a:latin typeface="Arial Narrow" pitchFamily="34" charset="0"/>
            </a:rPr>
            <a:t>the existence of triggers for functional processes, and data group definitions for data movements.If you</a:t>
          </a:r>
          <a:br>
            <a:rPr lang="en-US" sz="1100" baseline="0">
              <a:latin typeface="Arial Narrow" pitchFamily="34" charset="0"/>
            </a:rPr>
          </a:br>
          <a:r>
            <a:rPr lang="en-US" sz="1100" baseline="0">
              <a:latin typeface="Arial Narrow" pitchFamily="34" charset="0"/>
            </a:rPr>
            <a:t>set these options to </a:t>
          </a:r>
          <a:r>
            <a:rPr lang="en-US" sz="1100" b="1" baseline="0">
              <a:latin typeface="Arial Narrow" pitchFamily="34" charset="0"/>
            </a:rPr>
            <a:t>True</a:t>
          </a:r>
          <a:r>
            <a:rPr lang="en-US" sz="1100" baseline="0">
              <a:latin typeface="Arial Narrow" pitchFamily="34" charset="0"/>
            </a:rPr>
            <a:t>, you must specify all triggers, and all data groups, that pertain to functional</a:t>
          </a:r>
          <a:br>
            <a:rPr lang="en-US" sz="1100" baseline="0">
              <a:latin typeface="Arial Narrow" pitchFamily="34" charset="0"/>
            </a:rPr>
          </a:br>
          <a:r>
            <a:rPr lang="en-US" sz="1100" baseline="0">
              <a:latin typeface="Arial Narrow" pitchFamily="34" charset="0"/>
            </a:rPr>
            <a:t>processes and data movements in order to include them into your COSMIC count.. If you do not want</a:t>
          </a:r>
          <a:br>
            <a:rPr lang="en-US" sz="1100" baseline="0">
              <a:latin typeface="Arial Narrow" pitchFamily="34" charset="0"/>
            </a:rPr>
          </a:br>
          <a:r>
            <a:rPr lang="en-US" sz="1100" baseline="0">
              <a:latin typeface="Arial Narrow" pitchFamily="34" charset="0"/>
            </a:rPr>
            <a:t>such rigor in your count, you can set the options below to </a:t>
          </a:r>
          <a:r>
            <a:rPr lang="en-US" sz="1100" b="1" baseline="0">
              <a:latin typeface="Arial Narrow" pitchFamily="34" charset="0"/>
            </a:rPr>
            <a:t>False</a:t>
          </a:r>
          <a:r>
            <a:rPr lang="en-US" sz="1100" baseline="0">
              <a:latin typeface="Arial Narrow" pitchFamily="34" charset="0"/>
            </a:rPr>
            <a:t>. Data Moverments that add to the count</a:t>
          </a:r>
          <a:br>
            <a:rPr lang="en-US" sz="1100" baseline="0">
              <a:latin typeface="Arial Narrow" pitchFamily="34" charset="0"/>
            </a:rPr>
          </a:br>
          <a:r>
            <a:rPr lang="en-US" sz="1100" baseline="0">
              <a:latin typeface="Arial Narrow" pitchFamily="34" charset="0"/>
            </a:rPr>
            <a:t>are color-marked; if they loose their colored origin diamond, they do not qualify for a data movement</a:t>
          </a:r>
        </a:p>
        <a:p>
          <a:r>
            <a:rPr lang="en-US" sz="1100" baseline="0">
              <a:solidFill>
                <a:schemeClr val="tx1"/>
              </a:solidFill>
              <a:latin typeface="Arial Narrow" pitchFamily="34" charset="0"/>
              <a:ea typeface="+mn-ea"/>
              <a:cs typeface="+mn-cs"/>
            </a:rPr>
            <a:t>according COSMIC  rules. The colors are indicative for the data movement type and set on this sheet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latin typeface="Arial Narrow" pitchFamily="34" charset="0"/>
              <a:ea typeface="+mn-ea"/>
              <a:cs typeface="+mn-cs"/>
            </a:rPr>
            <a:t>When selecting a group for a data movement, you cannot select a group that already had been used the</a:t>
          </a:r>
          <a:endParaRPr lang="en-US">
            <a:effectLst/>
          </a:endParaRPr>
        </a:p>
        <a:p>
          <a:r>
            <a:rPr lang="en-US" sz="1100">
              <a:latin typeface="Arial Narrow" pitchFamily="34" charset="0"/>
            </a:rPr>
            <a:t>same way before,</a:t>
          </a:r>
          <a:r>
            <a:rPr lang="en-US" sz="1100" baseline="0">
              <a:latin typeface="Arial Narrow" pitchFamily="34" charset="0"/>
            </a:rPr>
            <a:t> between same origin and destination. Such groups will not be offered for selection.</a:t>
          </a:r>
          <a:endParaRPr lang="en-US" sz="1100">
            <a:latin typeface="Arial Narrow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homas.fehlmann@e-p-o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yerSheet"/>
  <dimension ref="B1:F24"/>
  <sheetViews>
    <sheetView showGridLines="0" workbookViewId="0">
      <selection activeCell="D3" sqref="D3:E3"/>
    </sheetView>
  </sheetViews>
  <sheetFormatPr defaultColWidth="9.33203125" defaultRowHeight="12.75" x14ac:dyDescent="0.2"/>
  <cols>
    <col min="1" max="1" width="0.83203125" style="90" customWidth="1"/>
    <col min="2" max="2" width="2.5" style="90" customWidth="1"/>
    <col min="3" max="3" width="0.5" style="90" customWidth="1"/>
    <col min="4" max="5" width="59.6640625" style="90" customWidth="1"/>
    <col min="6" max="6" width="3.83203125" style="90" customWidth="1"/>
    <col min="7" max="16384" width="9.33203125" style="90"/>
  </cols>
  <sheetData>
    <row r="1" spans="2:6" ht="3.75" customHeight="1" thickBot="1" x14ac:dyDescent="0.25"/>
    <row r="2" spans="2:6" ht="22.5" customHeight="1" x14ac:dyDescent="0.25">
      <c r="B2" s="103"/>
      <c r="C2" s="104" t="s">
        <v>5</v>
      </c>
      <c r="D2" s="104"/>
      <c r="E2" s="105"/>
      <c r="F2" s="91"/>
    </row>
    <row r="3" spans="2:6" ht="18" x14ac:dyDescent="0.25">
      <c r="B3" s="92"/>
      <c r="C3" s="94"/>
      <c r="D3" s="250" t="s">
        <v>323</v>
      </c>
      <c r="E3" s="251"/>
      <c r="F3" s="93"/>
    </row>
    <row r="4" spans="2:6" ht="18" customHeight="1" x14ac:dyDescent="0.2">
      <c r="B4" s="92"/>
      <c r="C4" s="96"/>
      <c r="D4" s="102" t="s">
        <v>0</v>
      </c>
      <c r="E4" s="101"/>
      <c r="F4" s="93"/>
    </row>
    <row r="5" spans="2:6" hidden="1" x14ac:dyDescent="0.2">
      <c r="B5" s="92"/>
      <c r="C5" s="95"/>
      <c r="D5" s="161"/>
      <c r="E5" s="162"/>
      <c r="F5" s="93"/>
    </row>
    <row r="6" spans="2:6" x14ac:dyDescent="0.2">
      <c r="B6" s="92"/>
      <c r="C6" s="95"/>
      <c r="D6" s="163" t="s">
        <v>324</v>
      </c>
      <c r="E6" s="164"/>
      <c r="F6" s="93"/>
    </row>
    <row r="7" spans="2:6" x14ac:dyDescent="0.2">
      <c r="B7" s="92"/>
      <c r="C7" s="95"/>
      <c r="D7" s="163"/>
      <c r="E7" s="164"/>
      <c r="F7" s="93"/>
    </row>
    <row r="8" spans="2:6" x14ac:dyDescent="0.2">
      <c r="B8" s="92"/>
      <c r="C8" s="95"/>
      <c r="D8" s="163"/>
      <c r="E8" s="164"/>
      <c r="F8" s="93"/>
    </row>
    <row r="9" spans="2:6" ht="12.75" hidden="1" customHeight="1" x14ac:dyDescent="0.25">
      <c r="B9" s="92"/>
      <c r="C9" s="94"/>
      <c r="D9" s="165"/>
      <c r="E9" s="166"/>
      <c r="F9" s="93"/>
    </row>
    <row r="10" spans="2:6" ht="18" customHeight="1" x14ac:dyDescent="0.2">
      <c r="B10" s="92"/>
      <c r="C10" s="96"/>
      <c r="D10" s="102" t="s">
        <v>46</v>
      </c>
      <c r="E10" s="101"/>
      <c r="F10" s="93"/>
    </row>
    <row r="11" spans="2:6" hidden="1" x14ac:dyDescent="0.2">
      <c r="B11" s="92"/>
      <c r="C11" s="97"/>
      <c r="D11" s="161"/>
      <c r="E11" s="162"/>
      <c r="F11" s="93"/>
    </row>
    <row r="12" spans="2:6" x14ac:dyDescent="0.2">
      <c r="B12" s="92"/>
      <c r="C12" s="97"/>
      <c r="D12" s="163" t="s">
        <v>325</v>
      </c>
      <c r="E12" s="164"/>
      <c r="F12" s="93"/>
    </row>
    <row r="13" spans="2:6" x14ac:dyDescent="0.2">
      <c r="B13" s="92"/>
      <c r="C13" s="97"/>
      <c r="D13" s="163"/>
      <c r="E13" s="167"/>
      <c r="F13" s="93"/>
    </row>
    <row r="14" spans="2:6" x14ac:dyDescent="0.2">
      <c r="B14" s="92"/>
      <c r="C14" s="97"/>
      <c r="D14" s="163"/>
      <c r="E14" s="164"/>
      <c r="F14" s="93"/>
    </row>
    <row r="15" spans="2:6" hidden="1" x14ac:dyDescent="0.2">
      <c r="B15" s="92"/>
      <c r="C15" s="95"/>
      <c r="D15" s="168"/>
      <c r="E15" s="169"/>
      <c r="F15" s="93"/>
    </row>
    <row r="16" spans="2:6" ht="18" customHeight="1" x14ac:dyDescent="0.2">
      <c r="B16" s="92"/>
      <c r="C16" s="96"/>
      <c r="D16" s="102" t="s">
        <v>2</v>
      </c>
      <c r="E16" s="101"/>
      <c r="F16" s="93"/>
    </row>
    <row r="17" spans="2:6" hidden="1" x14ac:dyDescent="0.2">
      <c r="B17" s="92"/>
      <c r="C17" s="96"/>
      <c r="D17" s="161"/>
      <c r="E17" s="170"/>
      <c r="F17" s="93"/>
    </row>
    <row r="18" spans="2:6" x14ac:dyDescent="0.2">
      <c r="B18" s="92"/>
      <c r="C18" s="96"/>
      <c r="D18" s="163" t="s">
        <v>42</v>
      </c>
      <c r="E18" s="171" t="s">
        <v>43</v>
      </c>
      <c r="F18" s="93"/>
    </row>
    <row r="19" spans="2:6" x14ac:dyDescent="0.2">
      <c r="B19" s="92"/>
      <c r="C19" s="96"/>
      <c r="D19" s="163"/>
      <c r="E19" s="171"/>
      <c r="F19" s="93"/>
    </row>
    <row r="20" spans="2:6" x14ac:dyDescent="0.2">
      <c r="B20" s="92"/>
      <c r="C20" s="96"/>
      <c r="D20" s="163"/>
      <c r="E20" s="171"/>
      <c r="F20" s="93"/>
    </row>
    <row r="21" spans="2:6" hidden="1" x14ac:dyDescent="0.2">
      <c r="B21" s="92"/>
      <c r="C21" s="96"/>
      <c r="D21" s="163"/>
      <c r="E21" s="171"/>
      <c r="F21" s="93"/>
    </row>
    <row r="22" spans="2:6" ht="18" customHeight="1" x14ac:dyDescent="0.2">
      <c r="B22" s="92"/>
      <c r="C22" s="96"/>
      <c r="D22" s="102" t="s">
        <v>1</v>
      </c>
      <c r="E22" s="101"/>
      <c r="F22" s="93"/>
    </row>
    <row r="23" spans="2:6" ht="15.75" x14ac:dyDescent="0.25">
      <c r="B23" s="92"/>
      <c r="C23" s="96"/>
      <c r="D23" s="248">
        <v>41945</v>
      </c>
      <c r="E23" s="249"/>
      <c r="F23" s="93"/>
    </row>
    <row r="24" spans="2:6" ht="24" customHeight="1" thickBot="1" x14ac:dyDescent="0.25">
      <c r="B24" s="98"/>
      <c r="C24" s="99"/>
      <c r="D24" s="99"/>
      <c r="E24" s="99"/>
      <c r="F24" s="100"/>
    </row>
  </sheetData>
  <sheetProtection sheet="1" objects="1" scenarios="1" selectLockedCells="1"/>
  <mergeCells count="2">
    <mergeCell ref="D23:E23"/>
    <mergeCell ref="D3:E3"/>
  </mergeCells>
  <hyperlinks>
    <hyperlink ref="E18" r:id="rId1"/>
  </hyperlinks>
  <pageMargins left="0.75" right="0.75" top="1" bottom="1" header="0.5" footer="0.5"/>
  <pageSetup orientation="portrait" horizontalDpi="1200" verticalDpi="12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undarySheet"/>
  <dimension ref="B1:D4"/>
  <sheetViews>
    <sheetView showGridLines="0" workbookViewId="0">
      <selection activeCell="C3" sqref="C3"/>
    </sheetView>
  </sheetViews>
  <sheetFormatPr defaultRowHeight="12.75" x14ac:dyDescent="0.2"/>
  <cols>
    <col min="1" max="1" width="0.83203125" customWidth="1"/>
    <col min="2" max="2" width="3" customWidth="1"/>
    <col min="3" max="3" width="129.83203125" customWidth="1"/>
    <col min="4" max="4" width="3.33203125" customWidth="1"/>
  </cols>
  <sheetData>
    <row r="1" spans="2:4" ht="3.75" customHeight="1" thickBot="1" x14ac:dyDescent="0.25"/>
    <row r="2" spans="2:4" ht="22.5" customHeight="1" x14ac:dyDescent="0.25">
      <c r="B2" s="106"/>
      <c r="C2" s="113" t="s">
        <v>45</v>
      </c>
      <c r="D2" s="107"/>
    </row>
    <row r="3" spans="2:4" ht="361.7" customHeight="1" x14ac:dyDescent="0.2">
      <c r="B3" s="108"/>
      <c r="C3" s="191"/>
      <c r="D3" s="109"/>
    </row>
    <row r="4" spans="2:4" ht="13.5" thickBot="1" x14ac:dyDescent="0.25">
      <c r="B4" s="110"/>
      <c r="C4" s="111"/>
      <c r="D4" s="112"/>
    </row>
  </sheetData>
  <sheetProtection sheet="1" objects="1" scenarios="1" selectLockedCells="1"/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rSheet"/>
  <dimension ref="B1:L15"/>
  <sheetViews>
    <sheetView showGridLines="0" workbookViewId="0">
      <selection activeCell="G8" sqref="G8"/>
    </sheetView>
  </sheetViews>
  <sheetFormatPr defaultRowHeight="12.75" x14ac:dyDescent="0.2"/>
  <cols>
    <col min="1" max="1" width="0.83203125" customWidth="1"/>
    <col min="2" max="2" width="2.83203125" bestFit="1" customWidth="1"/>
    <col min="3" max="3" width="7.83203125" style="2" bestFit="1" customWidth="1"/>
    <col min="4" max="4" width="16.5" style="44" bestFit="1" customWidth="1"/>
    <col min="5" max="5" width="28.5" style="44" bestFit="1" customWidth="1"/>
    <col min="6" max="8" width="43" style="44" customWidth="1"/>
    <col min="9" max="9" width="5.5" style="44" customWidth="1"/>
    <col min="10" max="10" width="21.83203125" bestFit="1" customWidth="1"/>
    <col min="11" max="11" width="5.33203125" bestFit="1" customWidth="1"/>
    <col min="12" max="12" width="1.5" customWidth="1"/>
  </cols>
  <sheetData>
    <row r="1" spans="2:12" ht="3.75" customHeight="1" thickBot="1" x14ac:dyDescent="0.25"/>
    <row r="2" spans="2:12" ht="6.75" customHeight="1" x14ac:dyDescent="0.2">
      <c r="B2" s="73"/>
      <c r="C2" s="74"/>
      <c r="D2" s="74"/>
      <c r="E2" s="74"/>
      <c r="F2" s="74"/>
      <c r="G2" s="74"/>
      <c r="H2" s="74"/>
      <c r="I2" s="74"/>
      <c r="J2" s="74"/>
      <c r="K2" s="74"/>
      <c r="L2" s="75"/>
    </row>
    <row r="3" spans="2:12" ht="18" x14ac:dyDescent="0.25">
      <c r="B3" s="76"/>
      <c r="C3" s="253" t="s">
        <v>60</v>
      </c>
      <c r="D3" s="253"/>
      <c r="E3" s="253"/>
      <c r="F3" s="77"/>
      <c r="G3" s="77"/>
      <c r="H3" s="77"/>
      <c r="I3" s="77"/>
      <c r="J3" s="77"/>
      <c r="K3" s="77"/>
      <c r="L3" s="78"/>
    </row>
    <row r="4" spans="2:12" ht="15.75" x14ac:dyDescent="0.25">
      <c r="B4" s="76"/>
      <c r="C4" s="79" t="s">
        <v>13</v>
      </c>
      <c r="D4" s="80" t="s">
        <v>14</v>
      </c>
      <c r="E4" s="80" t="s">
        <v>38</v>
      </c>
      <c r="F4" s="81" t="s">
        <v>40</v>
      </c>
      <c r="G4" s="81" t="s">
        <v>39</v>
      </c>
      <c r="H4" s="81" t="s">
        <v>41</v>
      </c>
      <c r="I4" s="252" t="s">
        <v>44</v>
      </c>
      <c r="J4" s="252"/>
      <c r="K4" s="81" t="s">
        <v>26</v>
      </c>
      <c r="L4" s="78"/>
    </row>
    <row r="5" spans="2:12" hidden="1" x14ac:dyDescent="0.2">
      <c r="B5" s="87">
        <f>ROW(B5)-TableRowShift()</f>
        <v>0</v>
      </c>
      <c r="C5" s="172" t="str">
        <f t="shared" ref="C5:C13" si="0">CONCATENATE("Q",TEXT(B5,"000"))</f>
        <v>Q000</v>
      </c>
      <c r="D5" s="178"/>
      <c r="E5" s="179"/>
      <c r="F5" s="180"/>
      <c r="G5" s="180"/>
      <c r="H5" s="180"/>
      <c r="I5" s="144"/>
      <c r="J5" s="173">
        <f>GetElement(GetIndex($I5,'Data Movements'!Name)+1,'Data Movements'!Label)</f>
        <v>0</v>
      </c>
      <c r="K5" s="174">
        <f>GetElement(GetIndex($I5,'Data Movements'!Name)+1,'Data Movements'!FunctionalProcess)</f>
        <v>0</v>
      </c>
      <c r="L5" s="78"/>
    </row>
    <row r="6" spans="2:12" s="247" customFormat="1" ht="36.75" customHeight="1" x14ac:dyDescent="0.2">
      <c r="B6" s="239">
        <f>ROW(B6)-TableRowShift()</f>
        <v>1</v>
      </c>
      <c r="C6" s="240" t="str">
        <f t="shared" si="0"/>
        <v>Q001</v>
      </c>
      <c r="D6" s="241" t="s">
        <v>109</v>
      </c>
      <c r="E6" s="242" t="s">
        <v>294</v>
      </c>
      <c r="F6" s="243" t="s">
        <v>295</v>
      </c>
      <c r="G6" s="243" t="s">
        <v>296</v>
      </c>
      <c r="H6" s="243" t="s">
        <v>297</v>
      </c>
      <c r="I6" s="225" t="s">
        <v>211</v>
      </c>
      <c r="J6" s="244" t="str">
        <f>GetElement(GetIndex($I6,'Data Movements'!Name)+1,'Data Movements'!Label)</f>
        <v>Enter New Recipe</v>
      </c>
      <c r="K6" s="245" t="str">
        <f>GetElement(GetIndex($I6,'Data Movements'!Name)+1,'Data Movements'!FunctionalProcess)</f>
        <v>F001</v>
      </c>
      <c r="L6" s="246"/>
    </row>
    <row r="7" spans="2:12" s="247" customFormat="1" ht="36.75" customHeight="1" x14ac:dyDescent="0.2">
      <c r="B7" s="239">
        <f>ROW(B7)-TableRowShift()</f>
        <v>2</v>
      </c>
      <c r="C7" s="240" t="str">
        <f t="shared" si="0"/>
        <v>Q002</v>
      </c>
      <c r="D7" s="241" t="s">
        <v>111</v>
      </c>
      <c r="E7" s="242" t="s">
        <v>294</v>
      </c>
      <c r="F7" s="243" t="s">
        <v>298</v>
      </c>
      <c r="G7" s="243" t="s">
        <v>355</v>
      </c>
      <c r="H7" s="243" t="s">
        <v>299</v>
      </c>
      <c r="I7" s="225" t="s">
        <v>225</v>
      </c>
      <c r="J7" s="244" t="str">
        <f>GetElement(GetIndex($I7,'Data Movements'!Name)+1,'Data Movements'!Label)</f>
        <v>Search for Food</v>
      </c>
      <c r="K7" s="245" t="str">
        <f>GetElement(GetIndex($I7,'Data Movements'!Name)+1,'Data Movements'!FunctionalProcess)</f>
        <v>F002</v>
      </c>
      <c r="L7" s="246"/>
    </row>
    <row r="8" spans="2:12" s="247" customFormat="1" ht="36.75" customHeight="1" x14ac:dyDescent="0.2">
      <c r="B8" s="239">
        <f>ROW(B8)-TableRowShift()</f>
        <v>3</v>
      </c>
      <c r="C8" s="240" t="str">
        <f t="shared" si="0"/>
        <v>Q003</v>
      </c>
      <c r="D8" s="241" t="s">
        <v>291</v>
      </c>
      <c r="E8" s="242" t="s">
        <v>294</v>
      </c>
      <c r="F8" s="243" t="s">
        <v>300</v>
      </c>
      <c r="G8" s="243" t="s">
        <v>296</v>
      </c>
      <c r="H8" s="243" t="s">
        <v>297</v>
      </c>
      <c r="I8" s="225" t="s">
        <v>218</v>
      </c>
      <c r="J8" s="244" t="str">
        <f>GetElement(GetIndex($I8,'Data Movements'!Name)+1,'Data Movements'!Label)</f>
        <v>Search Recipe</v>
      </c>
      <c r="K8" s="245" t="str">
        <f>GetElement(GetIndex($I8,'Data Movements'!Name)+1,'Data Movements'!FunctionalProcess)</f>
        <v>F001</v>
      </c>
      <c r="L8" s="246"/>
    </row>
    <row r="9" spans="2:12" s="247" customFormat="1" ht="36.75" customHeight="1" x14ac:dyDescent="0.2">
      <c r="B9" s="239">
        <f>ROW(B9)-TableRowShift()</f>
        <v>4</v>
      </c>
      <c r="C9" s="240" t="str">
        <f t="shared" si="0"/>
        <v>Q004</v>
      </c>
      <c r="D9" s="241" t="s">
        <v>278</v>
      </c>
      <c r="E9" s="242" t="s">
        <v>294</v>
      </c>
      <c r="F9" s="243" t="s">
        <v>301</v>
      </c>
      <c r="G9" s="243" t="s">
        <v>302</v>
      </c>
      <c r="H9" s="243" t="s">
        <v>303</v>
      </c>
      <c r="I9" s="225" t="s">
        <v>245</v>
      </c>
      <c r="J9" s="244" t="str">
        <f>GetElement(GetIndex($I9,'Data Movements'!Name)+1,'Data Movements'!Label)</f>
        <v>Set Expiration Date</v>
      </c>
      <c r="K9" s="245" t="str">
        <f>GetElement(GetIndex($I9,'Data Movements'!Name)+1,'Data Movements'!FunctionalProcess)</f>
        <v>F003</v>
      </c>
      <c r="L9" s="246"/>
    </row>
    <row r="10" spans="2:12" s="247" customFormat="1" ht="36.75" customHeight="1" x14ac:dyDescent="0.2">
      <c r="B10" s="239">
        <f>ROW(B10)-TableRowShift()</f>
        <v>5</v>
      </c>
      <c r="C10" s="240" t="str">
        <f t="shared" si="0"/>
        <v>Q005</v>
      </c>
      <c r="D10" s="241" t="s">
        <v>292</v>
      </c>
      <c r="E10" s="242" t="s">
        <v>294</v>
      </c>
      <c r="F10" s="243" t="s">
        <v>304</v>
      </c>
      <c r="G10" s="243" t="s">
        <v>305</v>
      </c>
      <c r="H10" s="243" t="s">
        <v>306</v>
      </c>
      <c r="I10" s="225" t="s">
        <v>234</v>
      </c>
      <c r="J10" s="244" t="str">
        <f>GetElement(GetIndex($I10,'Data Movements'!Name)+1,'Data Movements'!Label)</f>
        <v>Request Shopping List</v>
      </c>
      <c r="K10" s="245" t="str">
        <f>GetElement(GetIndex($I10,'Data Movements'!Name)+1,'Data Movements'!FunctionalProcess)</f>
        <v>F003</v>
      </c>
      <c r="L10" s="246"/>
    </row>
    <row r="11" spans="2:12" s="247" customFormat="1" ht="36.75" customHeight="1" x14ac:dyDescent="0.2">
      <c r="B11" s="239">
        <f>ROW(B11)-TableRowShift()</f>
        <v>6</v>
      </c>
      <c r="C11" s="240" t="str">
        <f t="shared" si="0"/>
        <v>Q006</v>
      </c>
      <c r="D11" s="241" t="s">
        <v>72</v>
      </c>
      <c r="E11" s="242" t="s">
        <v>294</v>
      </c>
      <c r="F11" s="243" t="s">
        <v>307</v>
      </c>
      <c r="G11" s="243" t="s">
        <v>308</v>
      </c>
      <c r="H11" s="243" t="s">
        <v>309</v>
      </c>
      <c r="I11" s="225" t="s">
        <v>247</v>
      </c>
      <c r="J11" s="244" t="str">
        <f>GetElement(GetIndex($I11,'Data Movements'!Name)+1,'Data Movements'!Label)</f>
        <v>Select Recipe</v>
      </c>
      <c r="K11" s="245" t="str">
        <f>GetElement(GetIndex($I11,'Data Movements'!Name)+1,'Data Movements'!FunctionalProcess)</f>
        <v>F004</v>
      </c>
      <c r="L11" s="246"/>
    </row>
    <row r="12" spans="2:12" s="247" customFormat="1" ht="36.75" customHeight="1" x14ac:dyDescent="0.2">
      <c r="B12" s="239">
        <f>ROW(B12)-TableRowShift()</f>
        <v>7</v>
      </c>
      <c r="C12" s="240" t="str">
        <f t="shared" si="0"/>
        <v>Q007</v>
      </c>
      <c r="D12" s="241" t="s">
        <v>293</v>
      </c>
      <c r="E12" s="242" t="s">
        <v>294</v>
      </c>
      <c r="F12" s="243" t="s">
        <v>310</v>
      </c>
      <c r="G12" s="243" t="s">
        <v>311</v>
      </c>
      <c r="H12" s="243" t="s">
        <v>312</v>
      </c>
      <c r="I12" s="225" t="s">
        <v>252</v>
      </c>
      <c r="J12" s="244" t="str">
        <f>GetElement(GetIndex($I12,'Data Movements'!Name)+1,'Data Movements'!Label)</f>
        <v>Execute Cooking Process</v>
      </c>
      <c r="K12" s="245" t="str">
        <f>GetElement(GetIndex($I12,'Data Movements'!Name)+1,'Data Movements'!FunctionalProcess)</f>
        <v>F004</v>
      </c>
      <c r="L12" s="246"/>
    </row>
    <row r="13" spans="2:12" s="247" customFormat="1" ht="36.75" customHeight="1" x14ac:dyDescent="0.2">
      <c r="B13" s="239">
        <f>ROW(B13)-TableRowShift()</f>
        <v>8</v>
      </c>
      <c r="C13" s="240" t="str">
        <f t="shared" si="0"/>
        <v>Q008</v>
      </c>
      <c r="D13" s="241" t="s">
        <v>275</v>
      </c>
      <c r="E13" s="242" t="s">
        <v>294</v>
      </c>
      <c r="F13" s="243" t="s">
        <v>313</v>
      </c>
      <c r="G13" s="243" t="s">
        <v>314</v>
      </c>
      <c r="H13" s="243" t="s">
        <v>315</v>
      </c>
      <c r="I13" s="225" t="s">
        <v>266</v>
      </c>
      <c r="J13" s="244" t="str">
        <f>GetElement(GetIndex($I13,'Data Movements'!Name)+1,'Data Movements'!Label)</f>
        <v>Recall Cooked Recipe</v>
      </c>
      <c r="K13" s="245" t="str">
        <f>GetElement(GetIndex($I13,'Data Movements'!Name)+1,'Data Movements'!FunctionalProcess)</f>
        <v>F004</v>
      </c>
      <c r="L13" s="246"/>
    </row>
    <row r="14" spans="2:12" ht="12.75" hidden="1" customHeight="1" x14ac:dyDescent="0.2">
      <c r="B14" s="89"/>
      <c r="C14" s="175"/>
      <c r="D14" s="181"/>
      <c r="E14" s="182"/>
      <c r="F14" s="183"/>
      <c r="G14" s="183"/>
      <c r="H14" s="183"/>
      <c r="I14" s="184"/>
      <c r="J14" s="176"/>
      <c r="K14" s="177"/>
      <c r="L14" s="88"/>
    </row>
    <row r="15" spans="2:12" ht="24" customHeight="1" thickBot="1" x14ac:dyDescent="0.25">
      <c r="B15" s="83"/>
      <c r="C15" s="84"/>
      <c r="D15" s="85"/>
      <c r="E15" s="85"/>
      <c r="F15" s="85"/>
      <c r="G15" s="85"/>
      <c r="H15" s="85"/>
      <c r="I15" s="84"/>
      <c r="J15" s="86"/>
      <c r="K15" s="86"/>
      <c r="L15" s="82"/>
    </row>
  </sheetData>
  <sheetProtection sheet="1" objects="1" scenarios="1" selectLockedCells="1"/>
  <mergeCells count="2">
    <mergeCell ref="I4:J4"/>
    <mergeCell ref="C3:E3"/>
  </mergeCells>
  <dataValidations count="2">
    <dataValidation type="list" allowBlank="1" showInputMessage="1" showErrorMessage="1" sqref="C3:E3">
      <formula1>"Functional User Requirements (FUR),User Stories"</formula1>
    </dataValidation>
    <dataValidation type="list" operator="equal" showErrorMessage="1" errorTitle="Not Found" error="This entry wasn't found as a name for a data movement" promptTitle="Enter Data Entry Movement" prompt="This entry must exist in the 'Name'-column on sheet 'Data Movements'" sqref="I5:I14">
      <formula1>E_ValidationList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bjectsOfInterest"/>
  <dimension ref="B1:L21"/>
  <sheetViews>
    <sheetView showGridLines="0" zoomScaleNormal="100" workbookViewId="0">
      <selection activeCell="D6" sqref="D6"/>
    </sheetView>
  </sheetViews>
  <sheetFormatPr defaultRowHeight="12.75" x14ac:dyDescent="0.2"/>
  <cols>
    <col min="1" max="1" width="0.83203125" customWidth="1"/>
    <col min="2" max="2" width="3.83203125" bestFit="1" customWidth="1"/>
    <col min="3" max="3" width="8" style="2" bestFit="1" customWidth="1"/>
    <col min="4" max="4" width="25.33203125" bestFit="1" customWidth="1"/>
    <col min="5" max="5" width="106" customWidth="1"/>
    <col min="6" max="6" width="7.1640625" bestFit="1" customWidth="1"/>
    <col min="7" max="7" width="16.1640625" bestFit="1" customWidth="1"/>
    <col min="8" max="8" width="24.33203125" customWidth="1"/>
    <col min="9" max="9" width="1.6640625" bestFit="1" customWidth="1"/>
    <col min="10" max="10" width="1" customWidth="1"/>
    <col min="11" max="12" width="9.33203125" hidden="1" customWidth="1"/>
  </cols>
  <sheetData>
    <row r="1" spans="2:12" ht="3.75" customHeight="1" thickBot="1" x14ac:dyDescent="0.25"/>
    <row r="2" spans="2:12" ht="6.75" customHeight="1" x14ac:dyDescent="0.2">
      <c r="B2" s="3"/>
      <c r="C2" s="16"/>
      <c r="D2" s="17"/>
      <c r="E2" s="17"/>
      <c r="F2" s="17"/>
      <c r="G2" s="17"/>
      <c r="H2" s="17"/>
      <c r="I2" s="4"/>
    </row>
    <row r="3" spans="2:12" ht="20.25" x14ac:dyDescent="0.3">
      <c r="B3" s="18"/>
      <c r="C3" s="254" t="s">
        <v>17</v>
      </c>
      <c r="D3" s="254"/>
      <c r="E3" s="19"/>
      <c r="F3" s="19"/>
      <c r="G3" s="19"/>
      <c r="H3" s="19"/>
      <c r="I3" s="5"/>
    </row>
    <row r="4" spans="2:12" ht="15.75" x14ac:dyDescent="0.2">
      <c r="B4" s="196"/>
      <c r="C4" s="197" t="s">
        <v>13</v>
      </c>
      <c r="D4" s="198" t="s">
        <v>14</v>
      </c>
      <c r="E4" s="198" t="s">
        <v>4</v>
      </c>
      <c r="F4" s="198" t="s">
        <v>15</v>
      </c>
      <c r="G4" s="198"/>
      <c r="H4" s="198" t="s">
        <v>25</v>
      </c>
      <c r="I4" s="199"/>
    </row>
    <row r="5" spans="2:12" hidden="1" x14ac:dyDescent="0.2">
      <c r="B5" s="200">
        <f>ROW(B5)-TableRowShift()</f>
        <v>0</v>
      </c>
      <c r="C5" s="201"/>
      <c r="D5" s="187"/>
      <c r="E5" s="202"/>
      <c r="F5" s="203" t="str">
        <f>LEFT(C5)</f>
        <v/>
      </c>
      <c r="G5" s="204" t="str">
        <f t="shared" ref="G5" si="0">ShowObjectType(C5)</f>
        <v/>
      </c>
      <c r="H5" s="205"/>
      <c r="I5" s="199" t="s">
        <v>24</v>
      </c>
      <c r="K5" t="s">
        <v>16</v>
      </c>
      <c r="L5" t="s">
        <v>137</v>
      </c>
    </row>
    <row r="6" spans="2:12" x14ac:dyDescent="0.2">
      <c r="B6" s="200">
        <f>ROW(B6)-TableRowShift()</f>
        <v>1</v>
      </c>
      <c r="C6" s="214" t="s">
        <v>135</v>
      </c>
      <c r="D6" s="193" t="s">
        <v>294</v>
      </c>
      <c r="E6" s="206" t="s">
        <v>319</v>
      </c>
      <c r="F6" s="215" t="s">
        <v>132</v>
      </c>
      <c r="G6" s="194" t="str">
        <f t="shared" ref="G6:G19" si="1">ShowObjectType(C6)</f>
        <v>Device User</v>
      </c>
      <c r="H6" s="195"/>
      <c r="I6" s="199" t="s">
        <v>24</v>
      </c>
      <c r="K6" t="s">
        <v>138</v>
      </c>
      <c r="L6" t="s">
        <v>140</v>
      </c>
    </row>
    <row r="7" spans="2:12" x14ac:dyDescent="0.2">
      <c r="B7" s="200">
        <f>ROW(B7)-TableRowShift()</f>
        <v>2</v>
      </c>
      <c r="C7" s="214" t="s">
        <v>16</v>
      </c>
      <c r="D7" s="193" t="s">
        <v>109</v>
      </c>
      <c r="E7" s="206" t="s">
        <v>121</v>
      </c>
      <c r="F7" s="215" t="s">
        <v>56</v>
      </c>
      <c r="G7" s="194" t="str">
        <f t="shared" si="1"/>
        <v>Functional Process</v>
      </c>
      <c r="H7" s="195"/>
      <c r="I7" s="199" t="s">
        <v>24</v>
      </c>
      <c r="K7" t="s">
        <v>141</v>
      </c>
      <c r="L7" t="s">
        <v>143</v>
      </c>
    </row>
    <row r="8" spans="2:12" x14ac:dyDescent="0.2">
      <c r="B8" s="200">
        <f>ROW(B8)-TableRowShift()</f>
        <v>3</v>
      </c>
      <c r="C8" s="214" t="s">
        <v>136</v>
      </c>
      <c r="D8" s="193" t="s">
        <v>110</v>
      </c>
      <c r="E8" s="206" t="s">
        <v>322</v>
      </c>
      <c r="F8" s="215" t="s">
        <v>133</v>
      </c>
      <c r="G8" s="194" t="str">
        <f t="shared" si="1"/>
        <v>Persistent Data</v>
      </c>
      <c r="H8" s="195"/>
      <c r="I8" s="199" t="s">
        <v>24</v>
      </c>
      <c r="K8" t="s">
        <v>142</v>
      </c>
      <c r="L8" t="s">
        <v>144</v>
      </c>
    </row>
    <row r="9" spans="2:12" x14ac:dyDescent="0.2">
      <c r="B9" s="200">
        <f>ROW(B9)-TableRowShift()</f>
        <v>4</v>
      </c>
      <c r="C9" s="214" t="s">
        <v>137</v>
      </c>
      <c r="D9" s="193" t="s">
        <v>320</v>
      </c>
      <c r="E9" s="206" t="s">
        <v>321</v>
      </c>
      <c r="F9" s="215" t="s">
        <v>134</v>
      </c>
      <c r="G9" s="194" t="str">
        <f t="shared" si="1"/>
        <v>Application User</v>
      </c>
      <c r="H9" s="195"/>
      <c r="I9" s="199" t="s">
        <v>24</v>
      </c>
      <c r="L9" t="s">
        <v>145</v>
      </c>
    </row>
    <row r="10" spans="2:12" x14ac:dyDescent="0.2">
      <c r="B10" s="200">
        <f>ROW(B10)-TableRowShift()</f>
        <v>5</v>
      </c>
      <c r="C10" s="214" t="s">
        <v>138</v>
      </c>
      <c r="D10" s="193" t="s">
        <v>111</v>
      </c>
      <c r="E10" s="206" t="s">
        <v>122</v>
      </c>
      <c r="F10" s="215" t="s">
        <v>56</v>
      </c>
      <c r="G10" s="194" t="str">
        <f t="shared" si="1"/>
        <v>Functional Process</v>
      </c>
      <c r="H10" s="195"/>
      <c r="I10" s="199" t="s">
        <v>24</v>
      </c>
      <c r="L10" t="s">
        <v>135</v>
      </c>
    </row>
    <row r="11" spans="2:12" x14ac:dyDescent="0.2">
      <c r="B11" s="200">
        <f>ROW(B11)-TableRowShift()</f>
        <v>6</v>
      </c>
      <c r="C11" s="214" t="s">
        <v>139</v>
      </c>
      <c r="D11" s="193" t="s">
        <v>112</v>
      </c>
      <c r="E11" s="206" t="s">
        <v>123</v>
      </c>
      <c r="F11" s="215" t="s">
        <v>133</v>
      </c>
      <c r="G11" s="194" t="str">
        <f t="shared" si="1"/>
        <v>Persistent Data</v>
      </c>
      <c r="H11" s="195"/>
      <c r="I11" s="199" t="s">
        <v>24</v>
      </c>
      <c r="L11" t="s">
        <v>136</v>
      </c>
    </row>
    <row r="12" spans="2:12" x14ac:dyDescent="0.2">
      <c r="B12" s="200">
        <f>ROW(B12)-TableRowShift()</f>
        <v>7</v>
      </c>
      <c r="C12" s="214" t="s">
        <v>140</v>
      </c>
      <c r="D12" s="193" t="s">
        <v>113</v>
      </c>
      <c r="E12" s="206" t="s">
        <v>124</v>
      </c>
      <c r="F12" s="215" t="s">
        <v>134</v>
      </c>
      <c r="G12" s="194" t="str">
        <f t="shared" si="1"/>
        <v>Application User</v>
      </c>
      <c r="H12" s="195"/>
      <c r="I12" s="199" t="s">
        <v>24</v>
      </c>
      <c r="L12" t="s">
        <v>139</v>
      </c>
    </row>
    <row r="13" spans="2:12" x14ac:dyDescent="0.2">
      <c r="B13" s="200">
        <f>ROW(B13)-TableRowShift()</f>
        <v>8</v>
      </c>
      <c r="C13" s="214" t="s">
        <v>141</v>
      </c>
      <c r="D13" s="193" t="s">
        <v>114</v>
      </c>
      <c r="E13" s="206" t="s">
        <v>125</v>
      </c>
      <c r="F13" s="215" t="s">
        <v>56</v>
      </c>
      <c r="G13" s="194" t="str">
        <f t="shared" si="1"/>
        <v>Functional Process</v>
      </c>
      <c r="H13" s="195"/>
      <c r="I13" s="199" t="s">
        <v>24</v>
      </c>
      <c r="L13" t="s">
        <v>57</v>
      </c>
    </row>
    <row r="14" spans="2:12" x14ac:dyDescent="0.2">
      <c r="B14" s="200">
        <f>ROW(B14)-TableRowShift()</f>
        <v>9</v>
      </c>
      <c r="C14" s="214" t="s">
        <v>57</v>
      </c>
      <c r="D14" s="193" t="s">
        <v>115</v>
      </c>
      <c r="E14" s="206" t="s">
        <v>126</v>
      </c>
      <c r="F14" s="215" t="s">
        <v>133</v>
      </c>
      <c r="G14" s="194" t="str">
        <f t="shared" si="1"/>
        <v>Persistent Data</v>
      </c>
      <c r="H14" s="195"/>
      <c r="I14" s="199" t="s">
        <v>24</v>
      </c>
      <c r="L14" t="s">
        <v>146</v>
      </c>
    </row>
    <row r="15" spans="2:12" x14ac:dyDescent="0.2">
      <c r="B15" s="200">
        <f>ROW(B15)-TableRowShift()</f>
        <v>10</v>
      </c>
      <c r="C15" s="214" t="s">
        <v>142</v>
      </c>
      <c r="D15" s="193" t="s">
        <v>116</v>
      </c>
      <c r="E15" s="206" t="s">
        <v>127</v>
      </c>
      <c r="F15" s="215" t="s">
        <v>56</v>
      </c>
      <c r="G15" s="194" t="str">
        <f t="shared" si="1"/>
        <v>Functional Process</v>
      </c>
      <c r="H15" s="195"/>
      <c r="I15" s="199" t="s">
        <v>24</v>
      </c>
    </row>
    <row r="16" spans="2:12" x14ac:dyDescent="0.2">
      <c r="B16" s="200">
        <f>ROW(B16)-TableRowShift()</f>
        <v>11</v>
      </c>
      <c r="C16" s="214" t="s">
        <v>143</v>
      </c>
      <c r="D16" s="193" t="s">
        <v>117</v>
      </c>
      <c r="E16" s="206" t="s">
        <v>128</v>
      </c>
      <c r="F16" s="215" t="s">
        <v>134</v>
      </c>
      <c r="G16" s="194" t="str">
        <f t="shared" si="1"/>
        <v>Application User</v>
      </c>
      <c r="H16" s="195"/>
      <c r="I16" s="199" t="s">
        <v>24</v>
      </c>
    </row>
    <row r="17" spans="2:9" x14ac:dyDescent="0.2">
      <c r="B17" s="200">
        <f>ROW(B17)-TableRowShift()</f>
        <v>12</v>
      </c>
      <c r="C17" s="214" t="s">
        <v>144</v>
      </c>
      <c r="D17" s="193" t="s">
        <v>118</v>
      </c>
      <c r="E17" s="206" t="s">
        <v>129</v>
      </c>
      <c r="F17" s="215" t="s">
        <v>134</v>
      </c>
      <c r="G17" s="194" t="str">
        <f t="shared" si="1"/>
        <v>Application User</v>
      </c>
      <c r="H17" s="195"/>
      <c r="I17" s="199" t="s">
        <v>24</v>
      </c>
    </row>
    <row r="18" spans="2:9" x14ac:dyDescent="0.2">
      <c r="B18" s="200">
        <f>ROW(B18)-TableRowShift()</f>
        <v>13</v>
      </c>
      <c r="C18" s="214" t="s">
        <v>145</v>
      </c>
      <c r="D18" s="193" t="s">
        <v>119</v>
      </c>
      <c r="E18" s="206" t="s">
        <v>130</v>
      </c>
      <c r="F18" s="215" t="s">
        <v>134</v>
      </c>
      <c r="G18" s="194" t="str">
        <f t="shared" si="1"/>
        <v>Application User</v>
      </c>
      <c r="H18" s="195"/>
      <c r="I18" s="199" t="s">
        <v>24</v>
      </c>
    </row>
    <row r="19" spans="2:9" x14ac:dyDescent="0.2">
      <c r="B19" s="200">
        <f>ROW(B19)-TableRowShift()</f>
        <v>14</v>
      </c>
      <c r="C19" s="214" t="s">
        <v>146</v>
      </c>
      <c r="D19" s="193" t="s">
        <v>120</v>
      </c>
      <c r="E19" s="206" t="s">
        <v>131</v>
      </c>
      <c r="F19" s="215" t="s">
        <v>133</v>
      </c>
      <c r="G19" s="194" t="str">
        <f t="shared" si="1"/>
        <v>Persistent Data</v>
      </c>
      <c r="H19" s="195"/>
      <c r="I19" s="199" t="s">
        <v>24</v>
      </c>
    </row>
    <row r="20" spans="2:9" hidden="1" x14ac:dyDescent="0.2">
      <c r="B20" s="200"/>
      <c r="C20" s="192"/>
      <c r="D20" s="206"/>
      <c r="E20" s="206"/>
      <c r="F20" s="207"/>
      <c r="G20" s="208"/>
      <c r="H20" s="209"/>
      <c r="I20" s="199" t="s">
        <v>24</v>
      </c>
    </row>
    <row r="21" spans="2:9" ht="24" customHeight="1" thickBot="1" x14ac:dyDescent="0.25">
      <c r="B21" s="210"/>
      <c r="C21" s="211"/>
      <c r="D21" s="212"/>
      <c r="E21" s="212"/>
      <c r="F21" s="212"/>
      <c r="G21" s="212"/>
      <c r="H21" s="212"/>
      <c r="I21" s="213"/>
    </row>
  </sheetData>
  <sheetProtection sheet="1" objects="1" scenarios="1" selectLockedCells="1"/>
  <dataConsolidate/>
  <mergeCells count="1">
    <mergeCell ref="C3:D3"/>
  </mergeCells>
  <dataValidations count="1">
    <dataValidation type="list" allowBlank="1" showInputMessage="1" showErrorMessage="1" errorTitle="Type required" error="You must specify the type of object in order to create its unique name!" promptTitle="Type of Object" prompt="A = Application User_x000a_D = Device User_x000a_P = Persistent Data_x000a_F = Functional Process_x000a__x000a_" sqref="F5:F20">
      <formula1>"A,D,F,P"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ggerEvents"/>
  <dimension ref="B1:K15"/>
  <sheetViews>
    <sheetView showGridLines="0" zoomScaleNormal="100" workbookViewId="0">
      <selection activeCell="D6" sqref="D6"/>
    </sheetView>
  </sheetViews>
  <sheetFormatPr defaultRowHeight="12.75" x14ac:dyDescent="0.2"/>
  <cols>
    <col min="1" max="1" width="0.83203125" customWidth="1"/>
    <col min="2" max="2" width="2.83203125" bestFit="1" customWidth="1"/>
    <col min="3" max="3" width="8" style="2" bestFit="1" customWidth="1"/>
    <col min="4" max="4" width="12.83203125" style="44" customWidth="1"/>
    <col min="5" max="5" width="93.83203125" style="44" customWidth="1"/>
    <col min="6" max="6" width="5.33203125" style="44" bestFit="1" customWidth="1"/>
    <col min="7" max="7" width="23.33203125" customWidth="1"/>
    <col min="8" max="8" width="5.33203125" bestFit="1" customWidth="1"/>
    <col min="9" max="9" width="15" bestFit="1" customWidth="1"/>
    <col min="10" max="10" width="15.6640625" style="2" bestFit="1" customWidth="1"/>
    <col min="11" max="11" width="1.83203125" customWidth="1"/>
  </cols>
  <sheetData>
    <row r="1" spans="2:11" ht="3.75" customHeight="1" thickBot="1" x14ac:dyDescent="0.25"/>
    <row r="2" spans="2:11" ht="6.75" customHeight="1" x14ac:dyDescent="0.2">
      <c r="B2" s="6"/>
      <c r="C2" s="255"/>
      <c r="D2" s="255"/>
      <c r="E2" s="255"/>
      <c r="F2" s="51"/>
      <c r="G2" s="7"/>
      <c r="H2" s="51"/>
      <c r="I2" s="114"/>
      <c r="J2" s="55"/>
      <c r="K2" s="8"/>
    </row>
    <row r="3" spans="2:11" ht="20.25" x14ac:dyDescent="0.3">
      <c r="B3" s="9"/>
      <c r="C3" s="256" t="s">
        <v>12</v>
      </c>
      <c r="D3" s="256"/>
      <c r="E3" s="256"/>
      <c r="F3" s="129"/>
      <c r="G3" s="129"/>
      <c r="H3" s="129"/>
      <c r="I3" s="129"/>
      <c r="J3" s="130"/>
      <c r="K3" s="10"/>
    </row>
    <row r="4" spans="2:11" ht="15.75" x14ac:dyDescent="0.25">
      <c r="B4" s="9"/>
      <c r="C4" s="131" t="s">
        <v>13</v>
      </c>
      <c r="D4" s="131" t="s">
        <v>14</v>
      </c>
      <c r="E4" s="132" t="s">
        <v>7</v>
      </c>
      <c r="F4" s="257" t="s">
        <v>54</v>
      </c>
      <c r="G4" s="257"/>
      <c r="H4" s="132" t="s">
        <v>51</v>
      </c>
      <c r="I4" s="132"/>
      <c r="J4" s="133" t="s">
        <v>47</v>
      </c>
      <c r="K4" s="10"/>
    </row>
    <row r="5" spans="2:11" hidden="1" x14ac:dyDescent="0.2">
      <c r="B5" s="11">
        <f>ROW(B5)-TableRowShift()</f>
        <v>0</v>
      </c>
      <c r="C5" s="116"/>
      <c r="D5" s="178"/>
      <c r="E5" s="185"/>
      <c r="F5" s="179"/>
      <c r="G5" s="53">
        <f>GetElement(GetIndex($F5,'Data Movements'!Name)+1,'Data Movements'!Label)</f>
        <v>0</v>
      </c>
      <c r="H5" s="119">
        <f>GetElement(GetIndex($F5,'Data Movements'!Name)+1,'Data Movements'!FunctionalProcess)</f>
        <v>0</v>
      </c>
      <c r="I5" s="118">
        <f>GetElement(GetIndex($H5,'Objects Of Interest'!Name)+1,'Objects Of Interest'!Label)</f>
        <v>0</v>
      </c>
      <c r="J5" s="121">
        <f>GetElement(GetIndex($F5,'Data Movements'!Name)+1,'Data Movements'!DataIndex)</f>
        <v>0</v>
      </c>
      <c r="K5" s="10"/>
    </row>
    <row r="6" spans="2:11" x14ac:dyDescent="0.2">
      <c r="B6" s="11">
        <f>ROW(B6)-TableRowShift()</f>
        <v>1</v>
      </c>
      <c r="C6" s="232" t="s">
        <v>283</v>
      </c>
      <c r="D6" s="233" t="s">
        <v>269</v>
      </c>
      <c r="E6" s="234" t="s">
        <v>277</v>
      </c>
      <c r="F6" s="235" t="s">
        <v>211</v>
      </c>
      <c r="G6" s="236" t="str">
        <f>GetElement(GetIndex($F6,'Data Movements'!Name)+1,'Data Movements'!Label)</f>
        <v>Enter New Recipe</v>
      </c>
      <c r="H6" s="237" t="str">
        <f>GetElement(GetIndex($F6,'Data Movements'!Name)+1,'Data Movements'!FunctionalProcess)</f>
        <v>F001</v>
      </c>
      <c r="I6" s="118" t="str">
        <f>GetElement(GetIndex($H6,'Objects Of Interest'!Name)+1,'Objects Of Interest'!Label)</f>
        <v>Collect Recipes</v>
      </c>
      <c r="J6" s="238">
        <f>GetElement(GetIndex($F6,'Data Movements'!Name)+1,'Data Movements'!DataIndex)</f>
        <v>1</v>
      </c>
      <c r="K6" s="10"/>
    </row>
    <row r="7" spans="2:11" x14ac:dyDescent="0.2">
      <c r="B7" s="11">
        <f>ROW(B7)-TableRowShift()</f>
        <v>2</v>
      </c>
      <c r="C7" s="232" t="s">
        <v>284</v>
      </c>
      <c r="D7" s="233" t="s">
        <v>270</v>
      </c>
      <c r="E7" s="234" t="s">
        <v>352</v>
      </c>
      <c r="F7" s="235" t="s">
        <v>218</v>
      </c>
      <c r="G7" s="236" t="str">
        <f>GetElement(GetIndex($F7,'Data Movements'!Name)+1,'Data Movements'!Label)</f>
        <v>Search Recipe</v>
      </c>
      <c r="H7" s="237" t="str">
        <f>GetElement(GetIndex($F7,'Data Movements'!Name)+1,'Data Movements'!FunctionalProcess)</f>
        <v>F001</v>
      </c>
      <c r="I7" s="118" t="str">
        <f>GetElement(GetIndex($H7,'Objects Of Interest'!Name)+1,'Objects Of Interest'!Label)</f>
        <v>Collect Recipes</v>
      </c>
      <c r="J7" s="238">
        <f>GetElement(GetIndex($F7,'Data Movements'!Name)+1,'Data Movements'!DataIndex)</f>
        <v>8</v>
      </c>
      <c r="K7" s="10"/>
    </row>
    <row r="8" spans="2:11" x14ac:dyDescent="0.2">
      <c r="B8" s="11">
        <f>ROW(B8)-TableRowShift()</f>
        <v>3</v>
      </c>
      <c r="C8" s="232" t="s">
        <v>285</v>
      </c>
      <c r="D8" s="233" t="s">
        <v>271</v>
      </c>
      <c r="E8" s="234" t="s">
        <v>353</v>
      </c>
      <c r="F8" s="235" t="s">
        <v>225</v>
      </c>
      <c r="G8" s="236" t="str">
        <f>GetElement(GetIndex($F8,'Data Movements'!Name)+1,'Data Movements'!Label)</f>
        <v>Search for Food</v>
      </c>
      <c r="H8" s="237" t="str">
        <f>GetElement(GetIndex($F8,'Data Movements'!Name)+1,'Data Movements'!FunctionalProcess)</f>
        <v>F002</v>
      </c>
      <c r="I8" s="118" t="str">
        <f>GetElement(GetIndex($H8,'Objects Of Interest'!Name)+1,'Objects Of Interest'!Label)</f>
        <v>Identify Food</v>
      </c>
      <c r="J8" s="238">
        <f>GetElement(GetIndex($F8,'Data Movements'!Name)+1,'Data Movements'!DataIndex)</f>
        <v>16</v>
      </c>
      <c r="K8" s="10"/>
    </row>
    <row r="9" spans="2:11" x14ac:dyDescent="0.2">
      <c r="B9" s="11">
        <f>ROW(B9)-TableRowShift()</f>
        <v>4</v>
      </c>
      <c r="C9" s="232" t="s">
        <v>286</v>
      </c>
      <c r="D9" s="233" t="s">
        <v>272</v>
      </c>
      <c r="E9" s="234" t="s">
        <v>354</v>
      </c>
      <c r="F9" s="235" t="s">
        <v>230</v>
      </c>
      <c r="G9" s="236" t="str">
        <f>GetElement(GetIndex($F9,'Data Movements'!Name)+1,'Data Movements'!Label)</f>
        <v>Manage Food</v>
      </c>
      <c r="H9" s="237" t="str">
        <f>GetElement(GetIndex($F9,'Data Movements'!Name)+1,'Data Movements'!FunctionalProcess)</f>
        <v>F002</v>
      </c>
      <c r="I9" s="118" t="str">
        <f>GetElement(GetIndex($H9,'Objects Of Interest'!Name)+1,'Objects Of Interest'!Label)</f>
        <v>Identify Food</v>
      </c>
      <c r="J9" s="238">
        <f>GetElement(GetIndex($F9,'Data Movements'!Name)+1,'Data Movements'!DataIndex)</f>
        <v>22</v>
      </c>
      <c r="K9" s="10"/>
    </row>
    <row r="10" spans="2:11" x14ac:dyDescent="0.2">
      <c r="B10" s="11">
        <f>ROW(B10)-TableRowShift()</f>
        <v>5</v>
      </c>
      <c r="C10" s="232" t="s">
        <v>287</v>
      </c>
      <c r="D10" s="233" t="s">
        <v>273</v>
      </c>
      <c r="E10" s="234" t="s">
        <v>279</v>
      </c>
      <c r="F10" s="235" t="s">
        <v>238</v>
      </c>
      <c r="G10" s="236" t="str">
        <f>GetElement(GetIndex($F10,'Data Movements'!Name)+1,'Data Movements'!Label)</f>
        <v>Record Shopping</v>
      </c>
      <c r="H10" s="237" t="str">
        <f>GetElement(GetIndex($F10,'Data Movements'!Name)+1,'Data Movements'!FunctionalProcess)</f>
        <v>F003</v>
      </c>
      <c r="I10" s="118" t="str">
        <f>GetElement(GetIndex($H10,'Objects Of Interest'!Name)+1,'Objects Of Interest'!Label)</f>
        <v>Kitchen Inventory</v>
      </c>
      <c r="J10" s="238">
        <f>GetElement(GetIndex($F10,'Data Movements'!Name)+1,'Data Movements'!DataIndex)</f>
        <v>30</v>
      </c>
      <c r="K10" s="10"/>
    </row>
    <row r="11" spans="2:11" x14ac:dyDescent="0.2">
      <c r="B11" s="11">
        <f>ROW(B11)-TableRowShift()</f>
        <v>6</v>
      </c>
      <c r="C11" s="232" t="s">
        <v>288</v>
      </c>
      <c r="D11" s="233" t="s">
        <v>274</v>
      </c>
      <c r="E11" s="234" t="s">
        <v>280</v>
      </c>
      <c r="F11" s="235" t="s">
        <v>247</v>
      </c>
      <c r="G11" s="236" t="str">
        <f>GetElement(GetIndex($F11,'Data Movements'!Name)+1,'Data Movements'!Label)</f>
        <v>Select Recipe</v>
      </c>
      <c r="H11" s="237" t="str">
        <f>GetElement(GetIndex($F11,'Data Movements'!Name)+1,'Data Movements'!FunctionalProcess)</f>
        <v>F004</v>
      </c>
      <c r="I11" s="118" t="str">
        <f>GetElement(GetIndex($H11,'Objects Of Interest'!Name)+1,'Objects Of Interest'!Label)</f>
        <v>Execute Recipe</v>
      </c>
      <c r="J11" s="238">
        <f>GetElement(GetIndex($F11,'Data Movements'!Name)+1,'Data Movements'!DataIndex)</f>
        <v>39</v>
      </c>
      <c r="K11" s="10"/>
    </row>
    <row r="12" spans="2:11" x14ac:dyDescent="0.2">
      <c r="B12" s="11">
        <f>ROW(B12)-TableRowShift()</f>
        <v>7</v>
      </c>
      <c r="C12" s="232" t="s">
        <v>289</v>
      </c>
      <c r="D12" s="233" t="s">
        <v>275</v>
      </c>
      <c r="E12" s="234" t="s">
        <v>281</v>
      </c>
      <c r="F12" s="235" t="s">
        <v>266</v>
      </c>
      <c r="G12" s="236" t="str">
        <f>GetElement(GetIndex($F12,'Data Movements'!Name)+1,'Data Movements'!Label)</f>
        <v>Recall Cooked Recipe</v>
      </c>
      <c r="H12" s="237" t="str">
        <f>GetElement(GetIndex($F12,'Data Movements'!Name)+1,'Data Movements'!FunctionalProcess)</f>
        <v>F004</v>
      </c>
      <c r="I12" s="118" t="str">
        <f>GetElement(GetIndex($H12,'Objects Of Interest'!Name)+1,'Objects Of Interest'!Label)</f>
        <v>Execute Recipe</v>
      </c>
      <c r="J12" s="238">
        <f>GetElement(GetIndex($F12,'Data Movements'!Name)+1,'Data Movements'!DataIndex)</f>
        <v>58</v>
      </c>
      <c r="K12" s="10"/>
    </row>
    <row r="13" spans="2:11" x14ac:dyDescent="0.2">
      <c r="B13" s="11">
        <f>ROW(B13)-TableRowShift()</f>
        <v>8</v>
      </c>
      <c r="C13" s="232" t="s">
        <v>290</v>
      </c>
      <c r="D13" s="233" t="s">
        <v>276</v>
      </c>
      <c r="E13" s="234" t="s">
        <v>282</v>
      </c>
      <c r="F13" s="235" t="s">
        <v>252</v>
      </c>
      <c r="G13" s="236" t="str">
        <f>GetElement(GetIndex($F13,'Data Movements'!Name)+1,'Data Movements'!Label)</f>
        <v>Execute Cooking Process</v>
      </c>
      <c r="H13" s="237" t="str">
        <f>GetElement(GetIndex($F13,'Data Movements'!Name)+1,'Data Movements'!FunctionalProcess)</f>
        <v>F004</v>
      </c>
      <c r="I13" s="118" t="str">
        <f>GetElement(GetIndex($H13,'Objects Of Interest'!Name)+1,'Objects Of Interest'!Label)</f>
        <v>Execute Recipe</v>
      </c>
      <c r="J13" s="238">
        <f>GetElement(GetIndex($F13,'Data Movements'!Name)+1,'Data Movements'!DataIndex)</f>
        <v>44</v>
      </c>
      <c r="K13" s="10"/>
    </row>
    <row r="14" spans="2:11" hidden="1" x14ac:dyDescent="0.2">
      <c r="B14" s="11"/>
      <c r="C14" s="117"/>
      <c r="D14" s="181"/>
      <c r="E14" s="186"/>
      <c r="F14" s="182"/>
      <c r="G14" s="54"/>
      <c r="H14" s="120"/>
      <c r="I14" s="118">
        <f>GetElement(GetIndex($H14,'Objects Of Interest'!Name)+1,'Objects Of Interest'!Label)</f>
        <v>0</v>
      </c>
      <c r="J14" s="122"/>
      <c r="K14" s="10"/>
    </row>
    <row r="15" spans="2:11" ht="24" customHeight="1" thickBot="1" x14ac:dyDescent="0.25">
      <c r="B15" s="12"/>
      <c r="C15" s="13"/>
      <c r="D15" s="52"/>
      <c r="E15" s="52"/>
      <c r="F15" s="52"/>
      <c r="G15" s="14"/>
      <c r="H15" s="14"/>
      <c r="I15" s="14"/>
      <c r="J15" s="13"/>
      <c r="K15" s="15"/>
    </row>
  </sheetData>
  <sheetProtection sheet="1" objects="1" scenarios="1" selectLockedCells="1"/>
  <mergeCells count="3">
    <mergeCell ref="C2:E2"/>
    <mergeCell ref="C3:E3"/>
    <mergeCell ref="F4:G4"/>
  </mergeCells>
  <phoneticPr fontId="0" type="noConversion"/>
  <dataValidations count="1">
    <dataValidation type="list" operator="equal" showErrorMessage="1" errorTitle="Not Found" error="This entry wasn't found as a name for a data movement" promptTitle="Enter Data Entry Movement" prompt="This entry must exist in the 'Name'-column on sheet 'Data Movements'" sqref="F5:F14">
      <formula1>E_ValidationList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Movements"/>
  <dimension ref="B1:AA69"/>
  <sheetViews>
    <sheetView showGridLines="0" topLeftCell="A16" zoomScaleNormal="100" workbookViewId="0">
      <selection activeCell="E57" sqref="E57"/>
    </sheetView>
  </sheetViews>
  <sheetFormatPr defaultRowHeight="12.75" x14ac:dyDescent="0.2"/>
  <cols>
    <col min="1" max="1" width="0.83203125" customWidth="1"/>
    <col min="2" max="2" width="3.83203125" bestFit="1" customWidth="1"/>
    <col min="3" max="3" width="8" style="2" bestFit="1" customWidth="1"/>
    <col min="4" max="4" width="23" style="44" bestFit="1" customWidth="1"/>
    <col min="5" max="5" width="45.6640625" customWidth="1"/>
    <col min="6" max="6" width="4.33203125" bestFit="1" customWidth="1"/>
    <col min="7" max="7" width="9.83203125" bestFit="1" customWidth="1"/>
    <col min="8" max="8" width="5.5" style="2" customWidth="1"/>
    <col min="9" max="9" width="15" bestFit="1" customWidth="1"/>
    <col min="10" max="10" width="3.83203125" style="2" bestFit="1" customWidth="1"/>
    <col min="11" max="11" width="5.5" style="2" customWidth="1"/>
    <col min="12" max="12" width="16.83203125" bestFit="1" customWidth="1"/>
    <col min="13" max="13" width="5.5" style="2" customWidth="1"/>
    <col min="14" max="14" width="18" bestFit="1" customWidth="1"/>
    <col min="15" max="15" width="6.1640625" bestFit="1" customWidth="1"/>
    <col min="16" max="19" width="7" style="2" customWidth="1"/>
    <col min="20" max="22" width="4.5" bestFit="1" customWidth="1"/>
    <col min="23" max="23" width="3.83203125" bestFit="1" customWidth="1"/>
    <col min="24" max="24" width="1.83203125" customWidth="1"/>
    <col min="25" max="25" width="1" customWidth="1"/>
    <col min="26" max="27" width="9.33203125" hidden="1" customWidth="1"/>
  </cols>
  <sheetData>
    <row r="1" spans="2:27" ht="3.75" customHeight="1" thickBot="1" x14ac:dyDescent="0.25"/>
    <row r="2" spans="2:27" ht="4.5" customHeight="1" x14ac:dyDescent="0.2">
      <c r="B2" s="29"/>
      <c r="C2" s="31"/>
      <c r="D2" s="45"/>
      <c r="E2" s="30"/>
      <c r="F2" s="30"/>
      <c r="G2" s="30"/>
      <c r="H2" s="31"/>
      <c r="I2" s="30"/>
      <c r="J2" s="31"/>
      <c r="K2" s="31"/>
      <c r="L2" s="30"/>
      <c r="M2" s="31"/>
      <c r="N2" s="30"/>
      <c r="O2" s="30"/>
      <c r="P2" s="31"/>
      <c r="Q2" s="31"/>
      <c r="R2" s="31"/>
      <c r="S2" s="31"/>
      <c r="T2" s="30"/>
      <c r="U2" s="30"/>
      <c r="V2" s="30"/>
      <c r="W2" s="30"/>
      <c r="X2" s="32"/>
    </row>
    <row r="3" spans="2:27" ht="20.25" x14ac:dyDescent="0.3">
      <c r="B3" s="33"/>
      <c r="C3" s="258" t="s">
        <v>21</v>
      </c>
      <c r="D3" s="259"/>
      <c r="E3" s="259"/>
      <c r="F3" s="149"/>
      <c r="G3" s="115"/>
      <c r="H3" s="260" t="s">
        <v>50</v>
      </c>
      <c r="I3" s="261"/>
      <c r="J3" s="261"/>
      <c r="K3" s="261"/>
      <c r="L3" s="261"/>
      <c r="M3" s="128"/>
      <c r="N3" s="128"/>
      <c r="O3" s="128"/>
      <c r="P3" s="260" t="s">
        <v>49</v>
      </c>
      <c r="Q3" s="259"/>
      <c r="R3" s="259"/>
      <c r="S3" s="259"/>
      <c r="T3" s="260" t="s">
        <v>48</v>
      </c>
      <c r="U3" s="259"/>
      <c r="V3" s="259"/>
      <c r="W3" s="259"/>
      <c r="X3" s="34"/>
    </row>
    <row r="4" spans="2:27" ht="39" x14ac:dyDescent="0.25">
      <c r="B4" s="33"/>
      <c r="C4" s="27" t="s">
        <v>13</v>
      </c>
      <c r="D4" s="26" t="s">
        <v>14</v>
      </c>
      <c r="E4" s="27" t="s">
        <v>23</v>
      </c>
      <c r="F4" s="263" t="s">
        <v>27</v>
      </c>
      <c r="G4" s="264"/>
      <c r="H4" s="263" t="s">
        <v>20</v>
      </c>
      <c r="I4" s="264"/>
      <c r="J4" s="20" t="s">
        <v>53</v>
      </c>
      <c r="K4" s="263" t="s">
        <v>3</v>
      </c>
      <c r="L4" s="264"/>
      <c r="M4" s="263" t="s">
        <v>8</v>
      </c>
      <c r="N4" s="264"/>
      <c r="O4" s="20" t="s">
        <v>52</v>
      </c>
      <c r="P4" s="20" t="s">
        <v>30</v>
      </c>
      <c r="Q4" s="20" t="s">
        <v>31</v>
      </c>
      <c r="R4" s="20" t="s">
        <v>32</v>
      </c>
      <c r="S4" s="20" t="s">
        <v>33</v>
      </c>
      <c r="T4" s="28" t="s">
        <v>9</v>
      </c>
      <c r="U4" s="28" t="s">
        <v>22</v>
      </c>
      <c r="V4" s="28" t="s">
        <v>11</v>
      </c>
      <c r="W4" s="28" t="s">
        <v>10</v>
      </c>
      <c r="X4" s="34"/>
    </row>
    <row r="5" spans="2:27" ht="12.75" hidden="1" customHeight="1" x14ac:dyDescent="0.2">
      <c r="B5" s="48">
        <f>ROW(B5)-TableRowShift()</f>
        <v>0</v>
      </c>
      <c r="C5" s="140"/>
      <c r="D5" s="156"/>
      <c r="E5" s="155"/>
      <c r="F5" s="142">
        <f>GetElement(GetIndex($C5,'Trigger Events'!FunctionalUser)+1,'Trigger Events'!Name)</f>
        <v>0</v>
      </c>
      <c r="G5" s="49">
        <f>GetElement(GetIndex($F5,'Trigger Events'!Name)+1,'Trigger Events'!Label)</f>
        <v>0</v>
      </c>
      <c r="H5" s="150"/>
      <c r="I5" s="49">
        <f>GetElement(GetIndex($H5,'Objects Of Interest'!Name)+1,'Objects Of Interest'!Label)</f>
        <v>0</v>
      </c>
      <c r="J5" s="153" t="str">
        <f>IF(ISBLANK(C5),"",IF(LEFT(C5)&lt;"W","&lt;","&gt;"))</f>
        <v/>
      </c>
      <c r="K5" s="144"/>
      <c r="L5" s="49">
        <f>GetElement(GetIndex($K5,'Objects Of Interest'!Name)+1,'Objects Of Interest'!Label)</f>
        <v>0</v>
      </c>
      <c r="M5" s="144"/>
      <c r="N5" s="49">
        <f>GetElement(GetIndex($M5,'Data Groups'!Name)+1,'Data Groups'!Label)</f>
        <v>0</v>
      </c>
      <c r="O5" s="151" t="b">
        <f t="shared" ref="O5" si="0">IsUniqueDataGroup(M5,H5,K5,LEFT(C5),B5,FunctionalProcess,ObjectReference,DataGroup)</f>
        <v>1</v>
      </c>
      <c r="P5" s="127" t="b">
        <v>1</v>
      </c>
      <c r="Q5" s="127" t="b">
        <v>1</v>
      </c>
      <c r="R5" s="127" t="b">
        <v>1</v>
      </c>
      <c r="S5" s="127" t="b">
        <v>1</v>
      </c>
      <c r="T5" s="40">
        <f>CountDataMovement('How to Use'!CheckTriggers,'How to Use'!CheckDataGroups,$O5,$C5,$H5,$M5,T$4,'Trigger Events'!FunctionalProcess,$P5:$S5)</f>
        <v>0</v>
      </c>
      <c r="U5" s="40">
        <f>CountDataMovement('How to Use'!CheckTriggers,'How to Use'!CheckDataGroups,$O5,$C5,$H5,$M5,U$4,'Trigger Events'!FunctionalProcess,$P5:$S5)</f>
        <v>0</v>
      </c>
      <c r="V5" s="40">
        <f>CountDataMovement('How to Use'!CheckTriggers,'How to Use'!CheckDataGroups,$O5,$C5,$H5,$M5,V$4,'Trigger Events'!FunctionalProcess,$P5:$S5)</f>
        <v>0</v>
      </c>
      <c r="W5" s="41">
        <f>CountDataMovement('How to Use'!CheckTriggers,'How to Use'!CheckDataGroups,$O5,$C5,$H5,$M5,W$4,'Trigger Events'!FunctionalProcess,$P5:$S5)</f>
        <v>0</v>
      </c>
      <c r="X5" s="35"/>
      <c r="Z5" t="s">
        <v>211</v>
      </c>
      <c r="AA5" t="s">
        <v>211</v>
      </c>
    </row>
    <row r="6" spans="2:27" ht="12.75" customHeight="1" x14ac:dyDescent="0.2">
      <c r="B6" s="48">
        <f>ROW(B6)-TableRowShift()</f>
        <v>1</v>
      </c>
      <c r="C6" s="220" t="s">
        <v>211</v>
      </c>
      <c r="D6" s="221" t="s">
        <v>316</v>
      </c>
      <c r="E6" s="222" t="s">
        <v>317</v>
      </c>
      <c r="F6" s="223" t="str">
        <f>GetElement(GetIndex($C6,'Trigger Events'!FunctionalUser)+1,'Trigger Events'!Name)</f>
        <v>T01</v>
      </c>
      <c r="G6" s="224" t="str">
        <f>GetElement(GetIndex($F6,'Trigger Events'!Name)+1,'Trigger Events'!Label)</f>
        <v>Enter</v>
      </c>
      <c r="H6" s="225" t="s">
        <v>16</v>
      </c>
      <c r="I6" s="224" t="str">
        <f>GetElement(GetIndex($H6,'Objects Of Interest'!Name)+1,'Objects Of Interest'!Label)</f>
        <v>Collect Recipes</v>
      </c>
      <c r="J6" s="226" t="s">
        <v>209</v>
      </c>
      <c r="K6" s="227" t="s">
        <v>135</v>
      </c>
      <c r="L6" s="224" t="str">
        <f>GetElement(GetIndex($K6,'Objects Of Interest'!Name)+1,'Objects Of Interest'!Label)</f>
        <v>Kitchen User</v>
      </c>
      <c r="M6" s="227" t="s">
        <v>97</v>
      </c>
      <c r="N6" s="224" t="str">
        <f>GetElement(GetIndex($M6,'Data Groups'!Name)+1,'Data Groups'!Label)</f>
        <v>Recipe with new ID</v>
      </c>
      <c r="O6" s="228" t="b">
        <f t="shared" ref="O6:O37" si="1">IsUniqueDataGroup(M6,H6,K6,LEFT(C6),B6,FunctionalProcess,ObjectReference,DataGroup)</f>
        <v>1</v>
      </c>
      <c r="P6" s="229" t="b">
        <v>1</v>
      </c>
      <c r="Q6" s="127" t="b">
        <v>1</v>
      </c>
      <c r="R6" s="127" t="b">
        <v>1</v>
      </c>
      <c r="S6" s="127" t="b">
        <v>1</v>
      </c>
      <c r="T6" s="230">
        <f>CountDataMovement('How to Use'!CheckTriggers,'How to Use'!CheckDataGroups,$O6,$C6,$H6,$M6,T$4,'Trigger Events'!FunctionalProcess,$P6:$S6)</f>
        <v>1</v>
      </c>
      <c r="U6" s="230">
        <f>CountDataMovement('How to Use'!CheckTriggers,'How to Use'!CheckDataGroups,$O6,$C6,$H6,$M6,U$4,'Trigger Events'!FunctionalProcess,$P6:$S6)</f>
        <v>0</v>
      </c>
      <c r="V6" s="230">
        <f>CountDataMovement('How to Use'!CheckTriggers,'How to Use'!CheckDataGroups,$O6,$C6,$H6,$M6,V$4,'Trigger Events'!FunctionalProcess,$P6:$S6)</f>
        <v>0</v>
      </c>
      <c r="W6" s="231">
        <f>CountDataMovement('How to Use'!CheckTriggers,'How to Use'!CheckDataGroups,$O6,$C6,$H6,$M6,W$4,'Trigger Events'!FunctionalProcess,$P6:$S6)</f>
        <v>0</v>
      </c>
      <c r="X6" s="35"/>
      <c r="Z6" t="s">
        <v>214</v>
      </c>
      <c r="AA6" t="s">
        <v>214</v>
      </c>
    </row>
    <row r="7" spans="2:27" ht="12.75" customHeight="1" x14ac:dyDescent="0.2">
      <c r="B7" s="48">
        <f>ROW(B7)-TableRowShift()</f>
        <v>2</v>
      </c>
      <c r="C7" s="220" t="s">
        <v>212</v>
      </c>
      <c r="D7" s="221" t="s">
        <v>147</v>
      </c>
      <c r="E7" s="222" t="s">
        <v>318</v>
      </c>
      <c r="F7" s="223">
        <f>GetElement(GetIndex($C7,'Trigger Events'!FunctionalUser)+1,'Trigger Events'!Name)</f>
        <v>0</v>
      </c>
      <c r="G7" s="224">
        <f>GetElement(GetIndex($F7,'Trigger Events'!Name)+1,'Trigger Events'!Label)</f>
        <v>0</v>
      </c>
      <c r="H7" s="225" t="s">
        <v>16</v>
      </c>
      <c r="I7" s="224" t="str">
        <f>GetElement(GetIndex($H7,'Objects Of Interest'!Name)+1,'Objects Of Interest'!Label)</f>
        <v>Collect Recipes</v>
      </c>
      <c r="J7" s="226" t="s">
        <v>210</v>
      </c>
      <c r="K7" s="227" t="s">
        <v>136</v>
      </c>
      <c r="L7" s="224" t="str">
        <f>GetElement(GetIndex($K7,'Objects Of Interest'!Name)+1,'Objects Of Interest'!Label)</f>
        <v>Recipe Database</v>
      </c>
      <c r="M7" s="227" t="s">
        <v>34</v>
      </c>
      <c r="N7" s="224" t="str">
        <f>GetElement(GetIndex($M7,'Data Groups'!Name)+1,'Data Groups'!Label)</f>
        <v>Recipe</v>
      </c>
      <c r="O7" s="228" t="b">
        <f t="shared" si="1"/>
        <v>1</v>
      </c>
      <c r="P7" s="229" t="b">
        <v>1</v>
      </c>
      <c r="Q7" s="127" t="b">
        <v>1</v>
      </c>
      <c r="R7" s="127" t="b">
        <v>1</v>
      </c>
      <c r="S7" s="127" t="b">
        <v>1</v>
      </c>
      <c r="T7" s="230">
        <f>CountDataMovement('How to Use'!CheckTriggers,'How to Use'!CheckDataGroups,$O7,$C7,$H7,$M7,T$4,'Trigger Events'!FunctionalProcess,$P7:$S7)</f>
        <v>0</v>
      </c>
      <c r="U7" s="230">
        <f>CountDataMovement('How to Use'!CheckTriggers,'How to Use'!CheckDataGroups,$O7,$C7,$H7,$M7,U$4,'Trigger Events'!FunctionalProcess,$P7:$S7)</f>
        <v>0</v>
      </c>
      <c r="V7" s="230">
        <f>CountDataMovement('How to Use'!CheckTriggers,'How to Use'!CheckDataGroups,$O7,$C7,$H7,$M7,V$4,'Trigger Events'!FunctionalProcess,$P7:$S7)</f>
        <v>0</v>
      </c>
      <c r="W7" s="231">
        <f>CountDataMovement('How to Use'!CheckTriggers,'How to Use'!CheckDataGroups,$O7,$C7,$H7,$M7,W$4,'Trigger Events'!FunctionalProcess,$P7:$S7)</f>
        <v>1</v>
      </c>
      <c r="X7" s="35"/>
      <c r="Z7" t="s">
        <v>215</v>
      </c>
      <c r="AA7" t="s">
        <v>215</v>
      </c>
    </row>
    <row r="8" spans="2:27" ht="12.75" customHeight="1" x14ac:dyDescent="0.2">
      <c r="B8" s="48">
        <f>ROW(B8)-TableRowShift()</f>
        <v>3</v>
      </c>
      <c r="C8" s="220" t="s">
        <v>213</v>
      </c>
      <c r="D8" s="221" t="s">
        <v>148</v>
      </c>
      <c r="E8" s="222" t="s">
        <v>196</v>
      </c>
      <c r="F8" s="223">
        <f>GetElement(GetIndex($C8,'Trigger Events'!FunctionalUser)+1,'Trigger Events'!Name)</f>
        <v>0</v>
      </c>
      <c r="G8" s="224">
        <f>GetElement(GetIndex($F8,'Trigger Events'!Name)+1,'Trigger Events'!Label)</f>
        <v>0</v>
      </c>
      <c r="H8" s="225" t="s">
        <v>16</v>
      </c>
      <c r="I8" s="224" t="str">
        <f>GetElement(GetIndex($H8,'Objects Of Interest'!Name)+1,'Objects Of Interest'!Label)</f>
        <v>Collect Recipes</v>
      </c>
      <c r="J8" s="226" t="s">
        <v>209</v>
      </c>
      <c r="K8" s="227" t="s">
        <v>136</v>
      </c>
      <c r="L8" s="224" t="str">
        <f>GetElement(GetIndex($K8,'Objects Of Interest'!Name)+1,'Objects Of Interest'!Label)</f>
        <v>Recipe Database</v>
      </c>
      <c r="M8" s="227" t="s">
        <v>34</v>
      </c>
      <c r="N8" s="224" t="str">
        <f>GetElement(GetIndex($M8,'Data Groups'!Name)+1,'Data Groups'!Label)</f>
        <v>Recipe</v>
      </c>
      <c r="O8" s="228" t="b">
        <f t="shared" si="1"/>
        <v>1</v>
      </c>
      <c r="P8" s="229" t="b">
        <v>1</v>
      </c>
      <c r="Q8" s="127" t="b">
        <v>1</v>
      </c>
      <c r="R8" s="127" t="b">
        <v>1</v>
      </c>
      <c r="S8" s="127" t="b">
        <v>1</v>
      </c>
      <c r="T8" s="230">
        <f>CountDataMovement('How to Use'!CheckTriggers,'How to Use'!CheckDataGroups,$O8,$C8,$H8,$M8,T$4,'Trigger Events'!FunctionalProcess,$P8:$S8)</f>
        <v>0</v>
      </c>
      <c r="U8" s="230">
        <f>CountDataMovement('How to Use'!CheckTriggers,'How to Use'!CheckDataGroups,$O8,$C8,$H8,$M8,U$4,'Trigger Events'!FunctionalProcess,$P8:$S8)</f>
        <v>0</v>
      </c>
      <c r="V8" s="230">
        <f>CountDataMovement('How to Use'!CheckTriggers,'How to Use'!CheckDataGroups,$O8,$C8,$H8,$M8,V$4,'Trigger Events'!FunctionalProcess,$P8:$S8)</f>
        <v>1</v>
      </c>
      <c r="W8" s="231">
        <f>CountDataMovement('How to Use'!CheckTriggers,'How to Use'!CheckDataGroups,$O8,$C8,$H8,$M8,W$4,'Trigger Events'!FunctionalProcess,$P8:$S8)</f>
        <v>0</v>
      </c>
      <c r="X8" s="35"/>
      <c r="Z8" t="s">
        <v>218</v>
      </c>
      <c r="AA8" t="s">
        <v>218</v>
      </c>
    </row>
    <row r="9" spans="2:27" ht="12.75" customHeight="1" x14ac:dyDescent="0.2">
      <c r="B9" s="48">
        <f>ROW(B9)-TableRowShift()</f>
        <v>4</v>
      </c>
      <c r="C9" s="220" t="s">
        <v>214</v>
      </c>
      <c r="D9" s="221" t="s">
        <v>149</v>
      </c>
      <c r="E9" s="222" t="s">
        <v>326</v>
      </c>
      <c r="F9" s="223">
        <f>GetElement(GetIndex($C9,'Trigger Events'!FunctionalUser)+1,'Trigger Events'!Name)</f>
        <v>0</v>
      </c>
      <c r="G9" s="224">
        <f>GetElement(GetIndex($F9,'Trigger Events'!Name)+1,'Trigger Events'!Label)</f>
        <v>0</v>
      </c>
      <c r="H9" s="225" t="s">
        <v>16</v>
      </c>
      <c r="I9" s="224" t="str">
        <f>GetElement(GetIndex($H9,'Objects Of Interest'!Name)+1,'Objects Of Interest'!Label)</f>
        <v>Collect Recipes</v>
      </c>
      <c r="J9" s="226" t="s">
        <v>209</v>
      </c>
      <c r="K9" s="227" t="s">
        <v>135</v>
      </c>
      <c r="L9" s="224" t="str">
        <f>GetElement(GetIndex($K9,'Objects Of Interest'!Name)+1,'Objects Of Interest'!Label)</f>
        <v>Kitchen User</v>
      </c>
      <c r="M9" s="227" t="s">
        <v>34</v>
      </c>
      <c r="N9" s="224" t="str">
        <f>GetElement(GetIndex($M9,'Data Groups'!Name)+1,'Data Groups'!Label)</f>
        <v>Recipe</v>
      </c>
      <c r="O9" s="228" t="b">
        <f t="shared" si="1"/>
        <v>1</v>
      </c>
      <c r="P9" s="229" t="b">
        <v>1</v>
      </c>
      <c r="Q9" s="127" t="b">
        <v>1</v>
      </c>
      <c r="R9" s="127" t="b">
        <v>1</v>
      </c>
      <c r="S9" s="127" t="b">
        <v>1</v>
      </c>
      <c r="T9" s="230">
        <f>CountDataMovement('How to Use'!CheckTriggers,'How to Use'!CheckDataGroups,$O9,$C9,$H9,$M9,T$4,'Trigger Events'!FunctionalProcess,$P9:$S9)</f>
        <v>1</v>
      </c>
      <c r="U9" s="230">
        <f>CountDataMovement('How to Use'!CheckTriggers,'How to Use'!CheckDataGroups,$O9,$C9,$H9,$M9,U$4,'Trigger Events'!FunctionalProcess,$P9:$S9)</f>
        <v>0</v>
      </c>
      <c r="V9" s="230">
        <f>CountDataMovement('How to Use'!CheckTriggers,'How to Use'!CheckDataGroups,$O9,$C9,$H9,$M9,V$4,'Trigger Events'!FunctionalProcess,$P9:$S9)</f>
        <v>0</v>
      </c>
      <c r="W9" s="231">
        <f>CountDataMovement('How to Use'!CheckTriggers,'How to Use'!CheckDataGroups,$O9,$C9,$H9,$M9,W$4,'Trigger Events'!FunctionalProcess,$P9:$S9)</f>
        <v>0</v>
      </c>
      <c r="X9" s="35"/>
      <c r="Z9" t="s">
        <v>220</v>
      </c>
      <c r="AA9" t="s">
        <v>220</v>
      </c>
    </row>
    <row r="10" spans="2:27" ht="12.75" customHeight="1" x14ac:dyDescent="0.2">
      <c r="B10" s="48">
        <f>ROW(B10)-TableRowShift()</f>
        <v>5</v>
      </c>
      <c r="C10" s="220" t="s">
        <v>215</v>
      </c>
      <c r="D10" s="221" t="s">
        <v>150</v>
      </c>
      <c r="E10" s="222" t="s">
        <v>327</v>
      </c>
      <c r="F10" s="223">
        <f>GetElement(GetIndex($C10,'Trigger Events'!FunctionalUser)+1,'Trigger Events'!Name)</f>
        <v>0</v>
      </c>
      <c r="G10" s="224">
        <f>GetElement(GetIndex($F10,'Trigger Events'!Name)+1,'Trigger Events'!Label)</f>
        <v>0</v>
      </c>
      <c r="H10" s="225" t="s">
        <v>16</v>
      </c>
      <c r="I10" s="224" t="str">
        <f>GetElement(GetIndex($H10,'Objects Of Interest'!Name)+1,'Objects Of Interest'!Label)</f>
        <v>Collect Recipes</v>
      </c>
      <c r="J10" s="226" t="s">
        <v>209</v>
      </c>
      <c r="K10" s="227" t="s">
        <v>135</v>
      </c>
      <c r="L10" s="224" t="str">
        <f>GetElement(GetIndex($K10,'Objects Of Interest'!Name)+1,'Objects Of Interest'!Label)</f>
        <v>Kitchen User</v>
      </c>
      <c r="M10" s="227" t="s">
        <v>96</v>
      </c>
      <c r="N10" s="224" t="str">
        <f>GetElement(GetIndex($M10,'Data Groups'!Name)+1,'Data Groups'!Label)</f>
        <v>Recipe ID</v>
      </c>
      <c r="O10" s="228" t="b">
        <f t="shared" si="1"/>
        <v>1</v>
      </c>
      <c r="P10" s="229" t="b">
        <v>1</v>
      </c>
      <c r="Q10" s="127" t="b">
        <v>1</v>
      </c>
      <c r="R10" s="127" t="b">
        <v>1</v>
      </c>
      <c r="S10" s="127" t="b">
        <v>1</v>
      </c>
      <c r="T10" s="230">
        <f>CountDataMovement('How to Use'!CheckTriggers,'How to Use'!CheckDataGroups,$O10,$C10,$H10,$M10,T$4,'Trigger Events'!FunctionalProcess,$P10:$S10)</f>
        <v>1</v>
      </c>
      <c r="U10" s="230">
        <f>CountDataMovement('How to Use'!CheckTriggers,'How to Use'!CheckDataGroups,$O10,$C10,$H10,$M10,U$4,'Trigger Events'!FunctionalProcess,$P10:$S10)</f>
        <v>0</v>
      </c>
      <c r="V10" s="230">
        <f>CountDataMovement('How to Use'!CheckTriggers,'How to Use'!CheckDataGroups,$O10,$C10,$H10,$M10,V$4,'Trigger Events'!FunctionalProcess,$P10:$S10)</f>
        <v>0</v>
      </c>
      <c r="W10" s="231">
        <f>CountDataMovement('How to Use'!CheckTriggers,'How to Use'!CheckDataGroups,$O10,$C10,$H10,$M10,W$4,'Trigger Events'!FunctionalProcess,$P10:$S10)</f>
        <v>0</v>
      </c>
      <c r="X10" s="35"/>
      <c r="Z10" t="s">
        <v>222</v>
      </c>
      <c r="AA10" t="s">
        <v>222</v>
      </c>
    </row>
    <row r="11" spans="2:27" ht="12.75" customHeight="1" x14ac:dyDescent="0.2">
      <c r="B11" s="48">
        <f>ROW(B11)-TableRowShift()</f>
        <v>6</v>
      </c>
      <c r="C11" s="220" t="s">
        <v>216</v>
      </c>
      <c r="D11" s="221" t="s">
        <v>151</v>
      </c>
      <c r="E11" s="222" t="s">
        <v>328</v>
      </c>
      <c r="F11" s="223">
        <f>GetElement(GetIndex($C11,'Trigger Events'!FunctionalUser)+1,'Trigger Events'!Name)</f>
        <v>0</v>
      </c>
      <c r="G11" s="224">
        <f>GetElement(GetIndex($F11,'Trigger Events'!Name)+1,'Trigger Events'!Label)</f>
        <v>0</v>
      </c>
      <c r="H11" s="225" t="s">
        <v>16</v>
      </c>
      <c r="I11" s="224" t="str">
        <f>GetElement(GetIndex($H11,'Objects Of Interest'!Name)+1,'Objects Of Interest'!Label)</f>
        <v>Collect Recipes</v>
      </c>
      <c r="J11" s="226" t="s">
        <v>210</v>
      </c>
      <c r="K11" s="227" t="s">
        <v>135</v>
      </c>
      <c r="L11" s="224" t="str">
        <f>GetElement(GetIndex($K11,'Objects Of Interest'!Name)+1,'Objects Of Interest'!Label)</f>
        <v>Kitchen User</v>
      </c>
      <c r="M11" s="227" t="s">
        <v>34</v>
      </c>
      <c r="N11" s="224" t="str">
        <f>GetElement(GetIndex($M11,'Data Groups'!Name)+1,'Data Groups'!Label)</f>
        <v>Recipe</v>
      </c>
      <c r="O11" s="228" t="b">
        <f t="shared" si="1"/>
        <v>1</v>
      </c>
      <c r="P11" s="229" t="b">
        <v>1</v>
      </c>
      <c r="Q11" s="127" t="b">
        <v>1</v>
      </c>
      <c r="R11" s="127" t="b">
        <v>1</v>
      </c>
      <c r="S11" s="127" t="b">
        <v>1</v>
      </c>
      <c r="T11" s="230">
        <f>CountDataMovement('How to Use'!CheckTriggers,'How to Use'!CheckDataGroups,$O11,$C11,$H11,$M11,T$4,'Trigger Events'!FunctionalProcess,$P11:$S11)</f>
        <v>0</v>
      </c>
      <c r="U11" s="230">
        <f>CountDataMovement('How to Use'!CheckTriggers,'How to Use'!CheckDataGroups,$O11,$C11,$H11,$M11,U$4,'Trigger Events'!FunctionalProcess,$P11:$S11)</f>
        <v>1</v>
      </c>
      <c r="V11" s="230">
        <f>CountDataMovement('How to Use'!CheckTriggers,'How to Use'!CheckDataGroups,$O11,$C11,$H11,$M11,V$4,'Trigger Events'!FunctionalProcess,$P11:$S11)</f>
        <v>0</v>
      </c>
      <c r="W11" s="231">
        <f>CountDataMovement('How to Use'!CheckTriggers,'How to Use'!CheckDataGroups,$O11,$C11,$H11,$M11,W$4,'Trigger Events'!FunctionalProcess,$P11:$S11)</f>
        <v>0</v>
      </c>
      <c r="X11" s="35"/>
      <c r="Z11" t="s">
        <v>225</v>
      </c>
      <c r="AA11" t="s">
        <v>225</v>
      </c>
    </row>
    <row r="12" spans="2:27" ht="12.75" customHeight="1" x14ac:dyDescent="0.2">
      <c r="B12" s="48">
        <f>ROW(B12)-TableRowShift()</f>
        <v>7</v>
      </c>
      <c r="C12" s="220" t="s">
        <v>217</v>
      </c>
      <c r="D12" s="221" t="s">
        <v>75</v>
      </c>
      <c r="E12" s="222" t="s">
        <v>197</v>
      </c>
      <c r="F12" s="223">
        <f>GetElement(GetIndex($C12,'Trigger Events'!FunctionalUser)+1,'Trigger Events'!Name)</f>
        <v>0</v>
      </c>
      <c r="G12" s="224">
        <f>GetElement(GetIndex($F12,'Trigger Events'!Name)+1,'Trigger Events'!Label)</f>
        <v>0</v>
      </c>
      <c r="H12" s="225" t="s">
        <v>16</v>
      </c>
      <c r="I12" s="224" t="str">
        <f>GetElement(GetIndex($H12,'Objects Of Interest'!Name)+1,'Objects Of Interest'!Label)</f>
        <v>Collect Recipes</v>
      </c>
      <c r="J12" s="226" t="s">
        <v>210</v>
      </c>
      <c r="K12" s="227" t="s">
        <v>135</v>
      </c>
      <c r="L12" s="224" t="str">
        <f>GetElement(GetIndex($K12,'Objects Of Interest'!Name)+1,'Objects Of Interest'!Label)</f>
        <v>Kitchen User</v>
      </c>
      <c r="M12" s="227" t="s">
        <v>108</v>
      </c>
      <c r="N12" s="224" t="str">
        <f>GetElement(GetIndex($M12,'Data Groups'!Name)+1,'Data Groups'!Label)</f>
        <v>Recipe Statistics</v>
      </c>
      <c r="O12" s="228" t="b">
        <f t="shared" si="1"/>
        <v>1</v>
      </c>
      <c r="P12" s="229" t="b">
        <v>1</v>
      </c>
      <c r="Q12" s="127" t="b">
        <v>1</v>
      </c>
      <c r="R12" s="127" t="b">
        <v>1</v>
      </c>
      <c r="S12" s="127" t="b">
        <v>1</v>
      </c>
      <c r="T12" s="230">
        <f>CountDataMovement('How to Use'!CheckTriggers,'How to Use'!CheckDataGroups,$O12,$C12,$H12,$M12,T$4,'Trigger Events'!FunctionalProcess,$P12:$S12)</f>
        <v>0</v>
      </c>
      <c r="U12" s="230">
        <f>CountDataMovement('How to Use'!CheckTriggers,'How to Use'!CheckDataGroups,$O12,$C12,$H12,$M12,U$4,'Trigger Events'!FunctionalProcess,$P12:$S12)</f>
        <v>1</v>
      </c>
      <c r="V12" s="230">
        <f>CountDataMovement('How to Use'!CheckTriggers,'How to Use'!CheckDataGroups,$O12,$C12,$H12,$M12,V$4,'Trigger Events'!FunctionalProcess,$P12:$S12)</f>
        <v>0</v>
      </c>
      <c r="W12" s="231">
        <f>CountDataMovement('How to Use'!CheckTriggers,'How to Use'!CheckDataGroups,$O12,$C12,$H12,$M12,W$4,'Trigger Events'!FunctionalProcess,$P12:$S12)</f>
        <v>0</v>
      </c>
      <c r="X12" s="35"/>
      <c r="Z12" t="s">
        <v>59</v>
      </c>
      <c r="AA12" t="s">
        <v>59</v>
      </c>
    </row>
    <row r="13" spans="2:27" ht="12.75" customHeight="1" x14ac:dyDescent="0.2">
      <c r="B13" s="48">
        <f>ROW(B13)-TableRowShift()</f>
        <v>8</v>
      </c>
      <c r="C13" s="220" t="s">
        <v>218</v>
      </c>
      <c r="D13" s="221" t="s">
        <v>152</v>
      </c>
      <c r="E13" s="222" t="s">
        <v>198</v>
      </c>
      <c r="F13" s="223" t="str">
        <f>GetElement(GetIndex($C13,'Trigger Events'!FunctionalUser)+1,'Trigger Events'!Name)</f>
        <v>T02</v>
      </c>
      <c r="G13" s="224" t="str">
        <f>GetElement(GetIndex($F13,'Trigger Events'!Name)+1,'Trigger Events'!Label)</f>
        <v>Search</v>
      </c>
      <c r="H13" s="225" t="s">
        <v>16</v>
      </c>
      <c r="I13" s="224" t="str">
        <f>GetElement(GetIndex($H13,'Objects Of Interest'!Name)+1,'Objects Of Interest'!Label)</f>
        <v>Collect Recipes</v>
      </c>
      <c r="J13" s="226" t="s">
        <v>209</v>
      </c>
      <c r="K13" s="227" t="s">
        <v>135</v>
      </c>
      <c r="L13" s="224" t="str">
        <f>GetElement(GetIndex($K13,'Objects Of Interest'!Name)+1,'Objects Of Interest'!Label)</f>
        <v>Kitchen User</v>
      </c>
      <c r="M13" s="227" t="s">
        <v>95</v>
      </c>
      <c r="N13" s="224" t="str">
        <f>GetElement(GetIndex($M13,'Data Groups'!Name)+1,'Data Groups'!Label)</f>
        <v>Selection Criteria</v>
      </c>
      <c r="O13" s="228" t="b">
        <f t="shared" si="1"/>
        <v>1</v>
      </c>
      <c r="P13" s="229" t="b">
        <v>1</v>
      </c>
      <c r="Q13" s="127" t="b">
        <v>1</v>
      </c>
      <c r="R13" s="127" t="b">
        <v>1</v>
      </c>
      <c r="S13" s="127" t="b">
        <v>1</v>
      </c>
      <c r="T13" s="230">
        <f>CountDataMovement('How to Use'!CheckTriggers,'How to Use'!CheckDataGroups,$O13,$C13,$H13,$M13,T$4,'Trigger Events'!FunctionalProcess,$P13:$S13)</f>
        <v>1</v>
      </c>
      <c r="U13" s="230">
        <f>CountDataMovement('How to Use'!CheckTriggers,'How to Use'!CheckDataGroups,$O13,$C13,$H13,$M13,U$4,'Trigger Events'!FunctionalProcess,$P13:$S13)</f>
        <v>0</v>
      </c>
      <c r="V13" s="230">
        <f>CountDataMovement('How to Use'!CheckTriggers,'How to Use'!CheckDataGroups,$O13,$C13,$H13,$M13,V$4,'Trigger Events'!FunctionalProcess,$P13:$S13)</f>
        <v>0</v>
      </c>
      <c r="W13" s="231">
        <f>CountDataMovement('How to Use'!CheckTriggers,'How to Use'!CheckDataGroups,$O13,$C13,$H13,$M13,W$4,'Trigger Events'!FunctionalProcess,$P13:$S13)</f>
        <v>0</v>
      </c>
      <c r="X13" s="35"/>
      <c r="Z13" t="s">
        <v>230</v>
      </c>
      <c r="AA13" t="s">
        <v>230</v>
      </c>
    </row>
    <row r="14" spans="2:27" ht="12.75" customHeight="1" x14ac:dyDescent="0.2">
      <c r="B14" s="48">
        <f>ROW(B14)-TableRowShift()</f>
        <v>9</v>
      </c>
      <c r="C14" s="220" t="s">
        <v>219</v>
      </c>
      <c r="D14" s="221" t="s">
        <v>152</v>
      </c>
      <c r="E14" s="222" t="s">
        <v>329</v>
      </c>
      <c r="F14" s="223">
        <f>GetElement(GetIndex($C14,'Trigger Events'!FunctionalUser)+1,'Trigger Events'!Name)</f>
        <v>0</v>
      </c>
      <c r="G14" s="224">
        <f>GetElement(GetIndex($F14,'Trigger Events'!Name)+1,'Trigger Events'!Label)</f>
        <v>0</v>
      </c>
      <c r="H14" s="225" t="s">
        <v>16</v>
      </c>
      <c r="I14" s="224" t="str">
        <f>GetElement(GetIndex($H14,'Objects Of Interest'!Name)+1,'Objects Of Interest'!Label)</f>
        <v>Collect Recipes</v>
      </c>
      <c r="J14" s="226" t="s">
        <v>210</v>
      </c>
      <c r="K14" s="227" t="s">
        <v>137</v>
      </c>
      <c r="L14" s="224" t="str">
        <f>GetElement(GetIndex($K14,'Objects Of Interest'!Name)+1,'Objects Of Interest'!Label)</f>
        <v>Recipe Portal</v>
      </c>
      <c r="M14" s="227" t="s">
        <v>95</v>
      </c>
      <c r="N14" s="224" t="str">
        <f>GetElement(GetIndex($M14,'Data Groups'!Name)+1,'Data Groups'!Label)</f>
        <v>Selection Criteria</v>
      </c>
      <c r="O14" s="228" t="b">
        <f t="shared" si="1"/>
        <v>1</v>
      </c>
      <c r="P14" s="229" t="b">
        <v>1</v>
      </c>
      <c r="Q14" s="127" t="b">
        <v>1</v>
      </c>
      <c r="R14" s="127" t="b">
        <v>1</v>
      </c>
      <c r="S14" s="127" t="b">
        <v>1</v>
      </c>
      <c r="T14" s="230">
        <f>CountDataMovement('How to Use'!CheckTriggers,'How to Use'!CheckDataGroups,$O14,$C14,$H14,$M14,T$4,'Trigger Events'!FunctionalProcess,$P14:$S14)</f>
        <v>0</v>
      </c>
      <c r="U14" s="230">
        <f>CountDataMovement('How to Use'!CheckTriggers,'How to Use'!CheckDataGroups,$O14,$C14,$H14,$M14,U$4,'Trigger Events'!FunctionalProcess,$P14:$S14)</f>
        <v>1</v>
      </c>
      <c r="V14" s="230">
        <f>CountDataMovement('How to Use'!CheckTriggers,'How to Use'!CheckDataGroups,$O14,$C14,$H14,$M14,V$4,'Trigger Events'!FunctionalProcess,$P14:$S14)</f>
        <v>0</v>
      </c>
      <c r="W14" s="231">
        <f>CountDataMovement('How to Use'!CheckTriggers,'How to Use'!CheckDataGroups,$O14,$C14,$H14,$M14,W$4,'Trigger Events'!FunctionalProcess,$P14:$S14)</f>
        <v>0</v>
      </c>
      <c r="X14" s="35"/>
      <c r="Z14" t="s">
        <v>234</v>
      </c>
      <c r="AA14" t="s">
        <v>234</v>
      </c>
    </row>
    <row r="15" spans="2:27" ht="12.75" customHeight="1" x14ac:dyDescent="0.2">
      <c r="B15" s="48">
        <f>ROW(B15)-TableRowShift()</f>
        <v>10</v>
      </c>
      <c r="C15" s="220" t="s">
        <v>220</v>
      </c>
      <c r="D15" s="221" t="s">
        <v>153</v>
      </c>
      <c r="E15" s="222" t="s">
        <v>330</v>
      </c>
      <c r="F15" s="223">
        <f>GetElement(GetIndex($C15,'Trigger Events'!FunctionalUser)+1,'Trigger Events'!Name)</f>
        <v>0</v>
      </c>
      <c r="G15" s="224">
        <f>GetElement(GetIndex($F15,'Trigger Events'!Name)+1,'Trigger Events'!Label)</f>
        <v>0</v>
      </c>
      <c r="H15" s="225" t="s">
        <v>16</v>
      </c>
      <c r="I15" s="224" t="str">
        <f>GetElement(GetIndex($H15,'Objects Of Interest'!Name)+1,'Objects Of Interest'!Label)</f>
        <v>Collect Recipes</v>
      </c>
      <c r="J15" s="226" t="s">
        <v>209</v>
      </c>
      <c r="K15" s="227" t="s">
        <v>137</v>
      </c>
      <c r="L15" s="224" t="str">
        <f>GetElement(GetIndex($K15,'Objects Of Interest'!Name)+1,'Objects Of Interest'!Label)</f>
        <v>Recipe Portal</v>
      </c>
      <c r="M15" s="227" t="s">
        <v>34</v>
      </c>
      <c r="N15" s="224" t="str">
        <f>GetElement(GetIndex($M15,'Data Groups'!Name)+1,'Data Groups'!Label)</f>
        <v>Recipe</v>
      </c>
      <c r="O15" s="228" t="b">
        <f t="shared" si="1"/>
        <v>1</v>
      </c>
      <c r="P15" s="229" t="b">
        <v>1</v>
      </c>
      <c r="Q15" s="127" t="b">
        <v>1</v>
      </c>
      <c r="R15" s="127" t="b">
        <v>1</v>
      </c>
      <c r="S15" s="127" t="b">
        <v>1</v>
      </c>
      <c r="T15" s="230">
        <f>CountDataMovement('How to Use'!CheckTriggers,'How to Use'!CheckDataGroups,$O15,$C15,$H15,$M15,T$4,'Trigger Events'!FunctionalProcess,$P15:$S15)</f>
        <v>1</v>
      </c>
      <c r="U15" s="230">
        <f>CountDataMovement('How to Use'!CheckTriggers,'How to Use'!CheckDataGroups,$O15,$C15,$H15,$M15,U$4,'Trigger Events'!FunctionalProcess,$P15:$S15)</f>
        <v>0</v>
      </c>
      <c r="V15" s="230">
        <f>CountDataMovement('How to Use'!CheckTriggers,'How to Use'!CheckDataGroups,$O15,$C15,$H15,$M15,V$4,'Trigger Events'!FunctionalProcess,$P15:$S15)</f>
        <v>0</v>
      </c>
      <c r="W15" s="231">
        <f>CountDataMovement('How to Use'!CheckTriggers,'How to Use'!CheckDataGroups,$O15,$C15,$H15,$M15,W$4,'Trigger Events'!FunctionalProcess,$P15:$S15)</f>
        <v>0</v>
      </c>
      <c r="X15" s="35"/>
      <c r="Z15" t="s">
        <v>238</v>
      </c>
      <c r="AA15" t="s">
        <v>238</v>
      </c>
    </row>
    <row r="16" spans="2:27" ht="12.75" customHeight="1" x14ac:dyDescent="0.2">
      <c r="B16" s="48">
        <f>ROW(B16)-TableRowShift()</f>
        <v>11</v>
      </c>
      <c r="C16" s="220" t="s">
        <v>221</v>
      </c>
      <c r="D16" s="221" t="s">
        <v>154</v>
      </c>
      <c r="E16" s="222" t="s">
        <v>356</v>
      </c>
      <c r="F16" s="223">
        <f>GetElement(GetIndex($C16,'Trigger Events'!FunctionalUser)+1,'Trigger Events'!Name)</f>
        <v>0</v>
      </c>
      <c r="G16" s="224">
        <f>GetElement(GetIndex($F16,'Trigger Events'!Name)+1,'Trigger Events'!Label)</f>
        <v>0</v>
      </c>
      <c r="H16" s="225" t="s">
        <v>16</v>
      </c>
      <c r="I16" s="224" t="str">
        <f>GetElement(GetIndex($H16,'Objects Of Interest'!Name)+1,'Objects Of Interest'!Label)</f>
        <v>Collect Recipes</v>
      </c>
      <c r="J16" s="226" t="s">
        <v>210</v>
      </c>
      <c r="K16" s="227" t="s">
        <v>135</v>
      </c>
      <c r="L16" s="224" t="str">
        <f>GetElement(GetIndex($K16,'Objects Of Interest'!Name)+1,'Objects Of Interest'!Label)</f>
        <v>Kitchen User</v>
      </c>
      <c r="M16" s="227" t="s">
        <v>95</v>
      </c>
      <c r="N16" s="224" t="str">
        <f>GetElement(GetIndex($M16,'Data Groups'!Name)+1,'Data Groups'!Label)</f>
        <v>Selection Criteria</v>
      </c>
      <c r="O16" s="228" t="b">
        <f t="shared" si="1"/>
        <v>1</v>
      </c>
      <c r="P16" s="229" t="b">
        <v>1</v>
      </c>
      <c r="Q16" s="127" t="b">
        <v>1</v>
      </c>
      <c r="R16" s="127" t="b">
        <v>1</v>
      </c>
      <c r="S16" s="127" t="b">
        <v>1</v>
      </c>
      <c r="T16" s="230">
        <f>CountDataMovement('How to Use'!CheckTriggers,'How to Use'!CheckDataGroups,$O16,$C16,$H16,$M16,T$4,'Trigger Events'!FunctionalProcess,$P16:$S16)</f>
        <v>0</v>
      </c>
      <c r="U16" s="230">
        <f>CountDataMovement('How to Use'!CheckTriggers,'How to Use'!CheckDataGroups,$O16,$C16,$H16,$M16,U$4,'Trigger Events'!FunctionalProcess,$P16:$S16)</f>
        <v>1</v>
      </c>
      <c r="V16" s="230">
        <f>CountDataMovement('How to Use'!CheckTriggers,'How to Use'!CheckDataGroups,$O16,$C16,$H16,$M16,V$4,'Trigger Events'!FunctionalProcess,$P16:$S16)</f>
        <v>0</v>
      </c>
      <c r="W16" s="231">
        <f>CountDataMovement('How to Use'!CheckTriggers,'How to Use'!CheckDataGroups,$O16,$C16,$H16,$M16,W$4,'Trigger Events'!FunctionalProcess,$P16:$S16)</f>
        <v>0</v>
      </c>
      <c r="X16" s="35"/>
      <c r="Z16" t="s">
        <v>239</v>
      </c>
      <c r="AA16" t="s">
        <v>239</v>
      </c>
    </row>
    <row r="17" spans="2:27" ht="12.75" customHeight="1" x14ac:dyDescent="0.2">
      <c r="B17" s="48">
        <f>ROW(B17)-TableRowShift()</f>
        <v>12</v>
      </c>
      <c r="C17" s="220" t="s">
        <v>222</v>
      </c>
      <c r="D17" s="221" t="s">
        <v>155</v>
      </c>
      <c r="E17" s="222" t="s">
        <v>199</v>
      </c>
      <c r="F17" s="223">
        <f>GetElement(GetIndex($C17,'Trigger Events'!FunctionalUser)+1,'Trigger Events'!Name)</f>
        <v>0</v>
      </c>
      <c r="G17" s="224">
        <f>GetElement(GetIndex($F17,'Trigger Events'!Name)+1,'Trigger Events'!Label)</f>
        <v>0</v>
      </c>
      <c r="H17" s="225" t="s">
        <v>16</v>
      </c>
      <c r="I17" s="224" t="str">
        <f>GetElement(GetIndex($H17,'Objects Of Interest'!Name)+1,'Objects Of Interest'!Label)</f>
        <v>Collect Recipes</v>
      </c>
      <c r="J17" s="226" t="s">
        <v>209</v>
      </c>
      <c r="K17" s="227" t="s">
        <v>135</v>
      </c>
      <c r="L17" s="224" t="str">
        <f>GetElement(GetIndex($K17,'Objects Of Interest'!Name)+1,'Objects Of Interest'!Label)</f>
        <v>Kitchen User</v>
      </c>
      <c r="M17" s="227" t="s">
        <v>98</v>
      </c>
      <c r="N17" s="224" t="str">
        <f>GetElement(GetIndex($M17,'Data Groups'!Name)+1,'Data Groups'!Label)</f>
        <v>Recipe Group</v>
      </c>
      <c r="O17" s="228" t="b">
        <f t="shared" si="1"/>
        <v>1</v>
      </c>
      <c r="P17" s="229" t="b">
        <v>1</v>
      </c>
      <c r="Q17" s="127" t="b">
        <v>1</v>
      </c>
      <c r="R17" s="127" t="b">
        <v>1</v>
      </c>
      <c r="S17" s="127" t="b">
        <v>1</v>
      </c>
      <c r="T17" s="230">
        <f>CountDataMovement('How to Use'!CheckTriggers,'How to Use'!CheckDataGroups,$O17,$C17,$H17,$M17,T$4,'Trigger Events'!FunctionalProcess,$P17:$S17)</f>
        <v>1</v>
      </c>
      <c r="U17" s="230">
        <f>CountDataMovement('How to Use'!CheckTriggers,'How to Use'!CheckDataGroups,$O17,$C17,$H17,$M17,U$4,'Trigger Events'!FunctionalProcess,$P17:$S17)</f>
        <v>0</v>
      </c>
      <c r="V17" s="230">
        <f>CountDataMovement('How to Use'!CheckTriggers,'How to Use'!CheckDataGroups,$O17,$C17,$H17,$M17,V$4,'Trigger Events'!FunctionalProcess,$P17:$S17)</f>
        <v>0</v>
      </c>
      <c r="W17" s="231">
        <f>CountDataMovement('How to Use'!CheckTriggers,'How to Use'!CheckDataGroups,$O17,$C17,$H17,$M17,W$4,'Trigger Events'!FunctionalProcess,$P17:$S17)</f>
        <v>0</v>
      </c>
      <c r="X17" s="35"/>
      <c r="Z17" t="s">
        <v>245</v>
      </c>
      <c r="AA17" t="s">
        <v>245</v>
      </c>
    </row>
    <row r="18" spans="2:27" ht="12.75" customHeight="1" x14ac:dyDescent="0.2">
      <c r="B18" s="48">
        <f>ROW(B18)-TableRowShift()</f>
        <v>13</v>
      </c>
      <c r="C18" s="220" t="s">
        <v>58</v>
      </c>
      <c r="D18" s="221" t="s">
        <v>156</v>
      </c>
      <c r="E18" s="222" t="s">
        <v>331</v>
      </c>
      <c r="F18" s="223">
        <f>GetElement(GetIndex($C18,'Trigger Events'!FunctionalUser)+1,'Trigger Events'!Name)</f>
        <v>0</v>
      </c>
      <c r="G18" s="224">
        <f>GetElement(GetIndex($F18,'Trigger Events'!Name)+1,'Trigger Events'!Label)</f>
        <v>0</v>
      </c>
      <c r="H18" s="225" t="s">
        <v>16</v>
      </c>
      <c r="I18" s="224" t="str">
        <f>GetElement(GetIndex($H18,'Objects Of Interest'!Name)+1,'Objects Of Interest'!Label)</f>
        <v>Collect Recipes</v>
      </c>
      <c r="J18" s="226" t="s">
        <v>210</v>
      </c>
      <c r="K18" s="227" t="s">
        <v>136</v>
      </c>
      <c r="L18" s="224" t="str">
        <f>GetElement(GetIndex($K18,'Objects Of Interest'!Name)+1,'Objects Of Interest'!Label)</f>
        <v>Recipe Database</v>
      </c>
      <c r="M18" s="227" t="s">
        <v>98</v>
      </c>
      <c r="N18" s="224" t="str">
        <f>GetElement(GetIndex($M18,'Data Groups'!Name)+1,'Data Groups'!Label)</f>
        <v>Recipe Group</v>
      </c>
      <c r="O18" s="228" t="b">
        <f t="shared" si="1"/>
        <v>1</v>
      </c>
      <c r="P18" s="229" t="b">
        <v>1</v>
      </c>
      <c r="Q18" s="127" t="b">
        <v>1</v>
      </c>
      <c r="R18" s="127" t="b">
        <v>1</v>
      </c>
      <c r="S18" s="127" t="b">
        <v>1</v>
      </c>
      <c r="T18" s="230">
        <f>CountDataMovement('How to Use'!CheckTriggers,'How to Use'!CheckDataGroups,$O18,$C18,$H18,$M18,T$4,'Trigger Events'!FunctionalProcess,$P18:$S18)</f>
        <v>0</v>
      </c>
      <c r="U18" s="230">
        <f>CountDataMovement('How to Use'!CheckTriggers,'How to Use'!CheckDataGroups,$O18,$C18,$H18,$M18,U$4,'Trigger Events'!FunctionalProcess,$P18:$S18)</f>
        <v>0</v>
      </c>
      <c r="V18" s="230">
        <f>CountDataMovement('How to Use'!CheckTriggers,'How to Use'!CheckDataGroups,$O18,$C18,$H18,$M18,V$4,'Trigger Events'!FunctionalProcess,$P18:$S18)</f>
        <v>0</v>
      </c>
      <c r="W18" s="231">
        <f>CountDataMovement('How to Use'!CheckTriggers,'How to Use'!CheckDataGroups,$O18,$C18,$H18,$M18,W$4,'Trigger Events'!FunctionalProcess,$P18:$S18)</f>
        <v>1</v>
      </c>
      <c r="X18" s="35"/>
      <c r="Z18" t="s">
        <v>247</v>
      </c>
      <c r="AA18" t="s">
        <v>247</v>
      </c>
    </row>
    <row r="19" spans="2:27" ht="12.75" customHeight="1" x14ac:dyDescent="0.2">
      <c r="B19" s="48">
        <f>ROW(B19)-TableRowShift()</f>
        <v>14</v>
      </c>
      <c r="C19" s="220" t="s">
        <v>223</v>
      </c>
      <c r="D19" s="221" t="s">
        <v>157</v>
      </c>
      <c r="E19" s="222" t="s">
        <v>357</v>
      </c>
      <c r="F19" s="223">
        <f>GetElement(GetIndex($C19,'Trigger Events'!FunctionalUser)+1,'Trigger Events'!Name)</f>
        <v>0</v>
      </c>
      <c r="G19" s="224">
        <f>GetElement(GetIndex($F19,'Trigger Events'!Name)+1,'Trigger Events'!Label)</f>
        <v>0</v>
      </c>
      <c r="H19" s="225" t="s">
        <v>16</v>
      </c>
      <c r="I19" s="224" t="str">
        <f>GetElement(GetIndex($H19,'Objects Of Interest'!Name)+1,'Objects Of Interest'!Label)</f>
        <v>Collect Recipes</v>
      </c>
      <c r="J19" s="226" t="s">
        <v>209</v>
      </c>
      <c r="K19" s="227" t="s">
        <v>136</v>
      </c>
      <c r="L19" s="224" t="str">
        <f>GetElement(GetIndex($K19,'Objects Of Interest'!Name)+1,'Objects Of Interest'!Label)</f>
        <v>Recipe Database</v>
      </c>
      <c r="M19" s="227" t="s">
        <v>98</v>
      </c>
      <c r="N19" s="224" t="str">
        <f>GetElement(GetIndex($M19,'Data Groups'!Name)+1,'Data Groups'!Label)</f>
        <v>Recipe Group</v>
      </c>
      <c r="O19" s="228" t="b">
        <f t="shared" si="1"/>
        <v>1</v>
      </c>
      <c r="P19" s="229" t="b">
        <v>1</v>
      </c>
      <c r="Q19" s="127" t="b">
        <v>1</v>
      </c>
      <c r="R19" s="127" t="b">
        <v>1</v>
      </c>
      <c r="S19" s="127" t="b">
        <v>1</v>
      </c>
      <c r="T19" s="230">
        <f>CountDataMovement('How to Use'!CheckTriggers,'How to Use'!CheckDataGroups,$O19,$C19,$H19,$M19,T$4,'Trigger Events'!FunctionalProcess,$P19:$S19)</f>
        <v>0</v>
      </c>
      <c r="U19" s="230">
        <f>CountDataMovement('How to Use'!CheckTriggers,'How to Use'!CheckDataGroups,$O19,$C19,$H19,$M19,U$4,'Trigger Events'!FunctionalProcess,$P19:$S19)</f>
        <v>0</v>
      </c>
      <c r="V19" s="230">
        <f>CountDataMovement('How to Use'!CheckTriggers,'How to Use'!CheckDataGroups,$O19,$C19,$H19,$M19,V$4,'Trigger Events'!FunctionalProcess,$P19:$S19)</f>
        <v>1</v>
      </c>
      <c r="W19" s="231">
        <f>CountDataMovement('How to Use'!CheckTriggers,'How to Use'!CheckDataGroups,$O19,$C19,$H19,$M19,W$4,'Trigger Events'!FunctionalProcess,$P19:$S19)</f>
        <v>0</v>
      </c>
      <c r="X19" s="35"/>
      <c r="Z19" t="s">
        <v>252</v>
      </c>
      <c r="AA19" t="s">
        <v>252</v>
      </c>
    </row>
    <row r="20" spans="2:27" ht="12.75" customHeight="1" x14ac:dyDescent="0.2">
      <c r="B20" s="48">
        <f>ROW(B20)-TableRowShift()</f>
        <v>15</v>
      </c>
      <c r="C20" s="220" t="s">
        <v>224</v>
      </c>
      <c r="D20" s="221" t="s">
        <v>158</v>
      </c>
      <c r="E20" s="222" t="s">
        <v>358</v>
      </c>
      <c r="F20" s="223">
        <f>GetElement(GetIndex($C20,'Trigger Events'!FunctionalUser)+1,'Trigger Events'!Name)</f>
        <v>0</v>
      </c>
      <c r="G20" s="224">
        <f>GetElement(GetIndex($F20,'Trigger Events'!Name)+1,'Trigger Events'!Label)</f>
        <v>0</v>
      </c>
      <c r="H20" s="225" t="s">
        <v>16</v>
      </c>
      <c r="I20" s="224" t="str">
        <f>GetElement(GetIndex($H20,'Objects Of Interest'!Name)+1,'Objects Of Interest'!Label)</f>
        <v>Collect Recipes</v>
      </c>
      <c r="J20" s="226" t="s">
        <v>210</v>
      </c>
      <c r="K20" s="227" t="s">
        <v>135</v>
      </c>
      <c r="L20" s="224" t="str">
        <f>GetElement(GetIndex($K20,'Objects Of Interest'!Name)+1,'Objects Of Interest'!Label)</f>
        <v>Kitchen User</v>
      </c>
      <c r="M20" s="227" t="s">
        <v>98</v>
      </c>
      <c r="N20" s="224" t="str">
        <f>GetElement(GetIndex($M20,'Data Groups'!Name)+1,'Data Groups'!Label)</f>
        <v>Recipe Group</v>
      </c>
      <c r="O20" s="228" t="b">
        <f t="shared" si="1"/>
        <v>1</v>
      </c>
      <c r="P20" s="229" t="b">
        <v>1</v>
      </c>
      <c r="Q20" s="127" t="b">
        <v>1</v>
      </c>
      <c r="R20" s="127" t="b">
        <v>1</v>
      </c>
      <c r="S20" s="127" t="b">
        <v>1</v>
      </c>
      <c r="T20" s="230">
        <f>CountDataMovement('How to Use'!CheckTriggers,'How to Use'!CheckDataGroups,$O20,$C20,$H20,$M20,T$4,'Trigger Events'!FunctionalProcess,$P20:$S20)</f>
        <v>0</v>
      </c>
      <c r="U20" s="230">
        <f>CountDataMovement('How to Use'!CheckTriggers,'How to Use'!CheckDataGroups,$O20,$C20,$H20,$M20,U$4,'Trigger Events'!FunctionalProcess,$P20:$S20)</f>
        <v>1</v>
      </c>
      <c r="V20" s="230">
        <f>CountDataMovement('How to Use'!CheckTriggers,'How to Use'!CheckDataGroups,$O20,$C20,$H20,$M20,V$4,'Trigger Events'!FunctionalProcess,$P20:$S20)</f>
        <v>0</v>
      </c>
      <c r="W20" s="231">
        <f>CountDataMovement('How to Use'!CheckTriggers,'How to Use'!CheckDataGroups,$O20,$C20,$H20,$M20,W$4,'Trigger Events'!FunctionalProcess,$P20:$S20)</f>
        <v>0</v>
      </c>
      <c r="X20" s="35"/>
      <c r="Z20" t="s">
        <v>255</v>
      </c>
      <c r="AA20" t="s">
        <v>255</v>
      </c>
    </row>
    <row r="21" spans="2:27" ht="12.75" customHeight="1" x14ac:dyDescent="0.2">
      <c r="B21" s="48">
        <f>ROW(B21)-TableRowShift()</f>
        <v>16</v>
      </c>
      <c r="C21" s="220" t="s">
        <v>225</v>
      </c>
      <c r="D21" s="221" t="s">
        <v>159</v>
      </c>
      <c r="E21" s="222" t="s">
        <v>339</v>
      </c>
      <c r="F21" s="223" t="str">
        <f>GetElement(GetIndex($C21,'Trigger Events'!FunctionalUser)+1,'Trigger Events'!Name)</f>
        <v>T03</v>
      </c>
      <c r="G21" s="224" t="str">
        <f>GetElement(GetIndex($F21,'Trigger Events'!Name)+1,'Trigger Events'!Label)</f>
        <v>Food</v>
      </c>
      <c r="H21" s="225" t="s">
        <v>138</v>
      </c>
      <c r="I21" s="224" t="str">
        <f>GetElement(GetIndex($H21,'Objects Of Interest'!Name)+1,'Objects Of Interest'!Label)</f>
        <v>Identify Food</v>
      </c>
      <c r="J21" s="226" t="s">
        <v>209</v>
      </c>
      <c r="K21" s="227" t="s">
        <v>135</v>
      </c>
      <c r="L21" s="224" t="str">
        <f>GetElement(GetIndex($K21,'Objects Of Interest'!Name)+1,'Objects Of Interest'!Label)</f>
        <v>Kitchen User</v>
      </c>
      <c r="M21" s="227" t="s">
        <v>99</v>
      </c>
      <c r="N21" s="224" t="str">
        <f>GetElement(GetIndex($M21,'Data Groups'!Name)+1,'Data Groups'!Label)</f>
        <v>Food Search Criteria</v>
      </c>
      <c r="O21" s="228" t="b">
        <f t="shared" si="1"/>
        <v>1</v>
      </c>
      <c r="P21" s="229" t="b">
        <v>1</v>
      </c>
      <c r="Q21" s="127" t="b">
        <v>1</v>
      </c>
      <c r="R21" s="127" t="b">
        <v>1</v>
      </c>
      <c r="S21" s="127" t="b">
        <v>1</v>
      </c>
      <c r="T21" s="230">
        <f>CountDataMovement('How to Use'!CheckTriggers,'How to Use'!CheckDataGroups,$O21,$C21,$H21,$M21,T$4,'Trigger Events'!FunctionalProcess,$P21:$S21)</f>
        <v>1</v>
      </c>
      <c r="U21" s="230">
        <f>CountDataMovement('How to Use'!CheckTriggers,'How to Use'!CheckDataGroups,$O21,$C21,$H21,$M21,U$4,'Trigger Events'!FunctionalProcess,$P21:$S21)</f>
        <v>0</v>
      </c>
      <c r="V21" s="230">
        <f>CountDataMovement('How to Use'!CheckTriggers,'How to Use'!CheckDataGroups,$O21,$C21,$H21,$M21,V$4,'Trigger Events'!FunctionalProcess,$P21:$S21)</f>
        <v>0</v>
      </c>
      <c r="W21" s="231">
        <f>CountDataMovement('How to Use'!CheckTriggers,'How to Use'!CheckDataGroups,$O21,$C21,$H21,$M21,W$4,'Trigger Events'!FunctionalProcess,$P21:$S21)</f>
        <v>0</v>
      </c>
      <c r="X21" s="35"/>
      <c r="Z21" t="s">
        <v>257</v>
      </c>
      <c r="AA21" t="s">
        <v>257</v>
      </c>
    </row>
    <row r="22" spans="2:27" ht="12.75" customHeight="1" x14ac:dyDescent="0.2">
      <c r="B22" s="48">
        <f>ROW(B22)-TableRowShift()</f>
        <v>17</v>
      </c>
      <c r="C22" s="220" t="s">
        <v>226</v>
      </c>
      <c r="D22" s="221" t="s">
        <v>160</v>
      </c>
      <c r="E22" s="222" t="s">
        <v>359</v>
      </c>
      <c r="F22" s="223">
        <f>GetElement(GetIndex($C22,'Trigger Events'!FunctionalUser)+1,'Trigger Events'!Name)</f>
        <v>0</v>
      </c>
      <c r="G22" s="224">
        <f>GetElement(GetIndex($F22,'Trigger Events'!Name)+1,'Trigger Events'!Label)</f>
        <v>0</v>
      </c>
      <c r="H22" s="225" t="s">
        <v>138</v>
      </c>
      <c r="I22" s="224" t="str">
        <f>GetElement(GetIndex($H22,'Objects Of Interest'!Name)+1,'Objects Of Interest'!Label)</f>
        <v>Identify Food</v>
      </c>
      <c r="J22" s="226" t="s">
        <v>210</v>
      </c>
      <c r="K22" s="227" t="s">
        <v>139</v>
      </c>
      <c r="L22" s="224" t="str">
        <f>GetElement(GetIndex($K22,'Objects Of Interest'!Name)+1,'Objects Of Interest'!Label)</f>
        <v>Food Database</v>
      </c>
      <c r="M22" s="227" t="s">
        <v>99</v>
      </c>
      <c r="N22" s="224" t="str">
        <f>GetElement(GetIndex($M22,'Data Groups'!Name)+1,'Data Groups'!Label)</f>
        <v>Food Search Criteria</v>
      </c>
      <c r="O22" s="228" t="b">
        <f t="shared" si="1"/>
        <v>1</v>
      </c>
      <c r="P22" s="229" t="b">
        <v>1</v>
      </c>
      <c r="Q22" s="127" t="b">
        <v>1</v>
      </c>
      <c r="R22" s="127" t="b">
        <v>1</v>
      </c>
      <c r="S22" s="127" t="b">
        <v>1</v>
      </c>
      <c r="T22" s="230">
        <f>CountDataMovement('How to Use'!CheckTriggers,'How to Use'!CheckDataGroups,$O22,$C22,$H22,$M22,T$4,'Trigger Events'!FunctionalProcess,$P22:$S22)</f>
        <v>0</v>
      </c>
      <c r="U22" s="230">
        <f>CountDataMovement('How to Use'!CheckTriggers,'How to Use'!CheckDataGroups,$O22,$C22,$H22,$M22,U$4,'Trigger Events'!FunctionalProcess,$P22:$S22)</f>
        <v>0</v>
      </c>
      <c r="V22" s="230">
        <f>CountDataMovement('How to Use'!CheckTriggers,'How to Use'!CheckDataGroups,$O22,$C22,$H22,$M22,V$4,'Trigger Events'!FunctionalProcess,$P22:$S22)</f>
        <v>0</v>
      </c>
      <c r="W22" s="231">
        <f>CountDataMovement('How to Use'!CheckTriggers,'How to Use'!CheckDataGroups,$O22,$C22,$H22,$M22,W$4,'Trigger Events'!FunctionalProcess,$P22:$S22)</f>
        <v>1</v>
      </c>
      <c r="X22" s="35"/>
      <c r="Z22" t="s">
        <v>259</v>
      </c>
      <c r="AA22" t="s">
        <v>259</v>
      </c>
    </row>
    <row r="23" spans="2:27" ht="12.75" customHeight="1" x14ac:dyDescent="0.2">
      <c r="B23" s="48">
        <f>ROW(B23)-TableRowShift()</f>
        <v>18</v>
      </c>
      <c r="C23" s="220" t="s">
        <v>227</v>
      </c>
      <c r="D23" s="221" t="s">
        <v>161</v>
      </c>
      <c r="E23" s="222" t="s">
        <v>340</v>
      </c>
      <c r="F23" s="223">
        <f>GetElement(GetIndex($C23,'Trigger Events'!FunctionalUser)+1,'Trigger Events'!Name)</f>
        <v>0</v>
      </c>
      <c r="G23" s="224">
        <f>GetElement(GetIndex($F23,'Trigger Events'!Name)+1,'Trigger Events'!Label)</f>
        <v>0</v>
      </c>
      <c r="H23" s="225" t="s">
        <v>138</v>
      </c>
      <c r="I23" s="224" t="str">
        <f>GetElement(GetIndex($H23,'Objects Of Interest'!Name)+1,'Objects Of Interest'!Label)</f>
        <v>Identify Food</v>
      </c>
      <c r="J23" s="226" t="s">
        <v>209</v>
      </c>
      <c r="K23" s="227" t="s">
        <v>139</v>
      </c>
      <c r="L23" s="224" t="str">
        <f>GetElement(GetIndex($K23,'Objects Of Interest'!Name)+1,'Objects Of Interest'!Label)</f>
        <v>Food Database</v>
      </c>
      <c r="M23" s="227" t="s">
        <v>99</v>
      </c>
      <c r="N23" s="224" t="str">
        <f>GetElement(GetIndex($M23,'Data Groups'!Name)+1,'Data Groups'!Label)</f>
        <v>Food Search Criteria</v>
      </c>
      <c r="O23" s="228" t="b">
        <f t="shared" si="1"/>
        <v>1</v>
      </c>
      <c r="P23" s="229" t="b">
        <v>1</v>
      </c>
      <c r="Q23" s="127" t="b">
        <v>1</v>
      </c>
      <c r="R23" s="127" t="b">
        <v>1</v>
      </c>
      <c r="S23" s="127" t="b">
        <v>1</v>
      </c>
      <c r="T23" s="230">
        <f>CountDataMovement('How to Use'!CheckTriggers,'How to Use'!CheckDataGroups,$O23,$C23,$H23,$M23,T$4,'Trigger Events'!FunctionalProcess,$P23:$S23)</f>
        <v>0</v>
      </c>
      <c r="U23" s="230">
        <f>CountDataMovement('How to Use'!CheckTriggers,'How to Use'!CheckDataGroups,$O23,$C23,$H23,$M23,U$4,'Trigger Events'!FunctionalProcess,$P23:$S23)</f>
        <v>0</v>
      </c>
      <c r="V23" s="230">
        <f>CountDataMovement('How to Use'!CheckTriggers,'How to Use'!CheckDataGroups,$O23,$C23,$H23,$M23,V$4,'Trigger Events'!FunctionalProcess,$P23:$S23)</f>
        <v>1</v>
      </c>
      <c r="W23" s="231">
        <f>CountDataMovement('How to Use'!CheckTriggers,'How to Use'!CheckDataGroups,$O23,$C23,$H23,$M23,W$4,'Trigger Events'!FunctionalProcess,$P23:$S23)</f>
        <v>0</v>
      </c>
      <c r="X23" s="35"/>
      <c r="Z23" t="s">
        <v>261</v>
      </c>
      <c r="AA23" t="s">
        <v>261</v>
      </c>
    </row>
    <row r="24" spans="2:27" ht="12.75" customHeight="1" x14ac:dyDescent="0.2">
      <c r="B24" s="48">
        <f>ROW(B24)-TableRowShift()</f>
        <v>19</v>
      </c>
      <c r="C24" s="220" t="s">
        <v>59</v>
      </c>
      <c r="D24" s="221" t="s">
        <v>111</v>
      </c>
      <c r="E24" s="222" t="s">
        <v>200</v>
      </c>
      <c r="F24" s="223">
        <f>GetElement(GetIndex($C24,'Trigger Events'!FunctionalUser)+1,'Trigger Events'!Name)</f>
        <v>0</v>
      </c>
      <c r="G24" s="224">
        <f>GetElement(GetIndex($F24,'Trigger Events'!Name)+1,'Trigger Events'!Label)</f>
        <v>0</v>
      </c>
      <c r="H24" s="225" t="s">
        <v>138</v>
      </c>
      <c r="I24" s="224" t="str">
        <f>GetElement(GetIndex($H24,'Objects Of Interest'!Name)+1,'Objects Of Interest'!Label)</f>
        <v>Identify Food</v>
      </c>
      <c r="J24" s="226" t="s">
        <v>209</v>
      </c>
      <c r="K24" s="227" t="s">
        <v>137</v>
      </c>
      <c r="L24" s="224" t="str">
        <f>GetElement(GetIndex($K24,'Objects Of Interest'!Name)+1,'Objects Of Interest'!Label)</f>
        <v>Recipe Portal</v>
      </c>
      <c r="M24" s="227" t="s">
        <v>99</v>
      </c>
      <c r="N24" s="224" t="str">
        <f>GetElement(GetIndex($M24,'Data Groups'!Name)+1,'Data Groups'!Label)</f>
        <v>Food Search Criteria</v>
      </c>
      <c r="O24" s="228" t="b">
        <f t="shared" si="1"/>
        <v>1</v>
      </c>
      <c r="P24" s="229" t="b">
        <v>1</v>
      </c>
      <c r="Q24" s="127" t="b">
        <v>1</v>
      </c>
      <c r="R24" s="127" t="b">
        <v>1</v>
      </c>
      <c r="S24" s="127" t="b">
        <v>1</v>
      </c>
      <c r="T24" s="230">
        <f>CountDataMovement('How to Use'!CheckTriggers,'How to Use'!CheckDataGroups,$O24,$C24,$H24,$M24,T$4,'Trigger Events'!FunctionalProcess,$P24:$S24)</f>
        <v>1</v>
      </c>
      <c r="U24" s="230">
        <f>CountDataMovement('How to Use'!CheckTriggers,'How to Use'!CheckDataGroups,$O24,$C24,$H24,$M24,U$4,'Trigger Events'!FunctionalProcess,$P24:$S24)</f>
        <v>0</v>
      </c>
      <c r="V24" s="230">
        <f>CountDataMovement('How to Use'!CheckTriggers,'How to Use'!CheckDataGroups,$O24,$C24,$H24,$M24,V$4,'Trigger Events'!FunctionalProcess,$P24:$S24)</f>
        <v>0</v>
      </c>
      <c r="W24" s="231">
        <f>CountDataMovement('How to Use'!CheckTriggers,'How to Use'!CheckDataGroups,$O24,$C24,$H24,$M24,W$4,'Trigger Events'!FunctionalProcess,$P24:$S24)</f>
        <v>0</v>
      </c>
      <c r="X24" s="35"/>
      <c r="Z24" t="s">
        <v>263</v>
      </c>
      <c r="AA24" t="s">
        <v>263</v>
      </c>
    </row>
    <row r="25" spans="2:27" ht="12.75" customHeight="1" x14ac:dyDescent="0.2">
      <c r="B25" s="48">
        <f>ROW(B25)-TableRowShift()</f>
        <v>20</v>
      </c>
      <c r="C25" s="220" t="s">
        <v>228</v>
      </c>
      <c r="D25" s="221" t="s">
        <v>162</v>
      </c>
      <c r="E25" s="222" t="s">
        <v>201</v>
      </c>
      <c r="F25" s="223">
        <f>GetElement(GetIndex($C25,'Trigger Events'!FunctionalUser)+1,'Trigger Events'!Name)</f>
        <v>0</v>
      </c>
      <c r="G25" s="224">
        <f>GetElement(GetIndex($F25,'Trigger Events'!Name)+1,'Trigger Events'!Label)</f>
        <v>0</v>
      </c>
      <c r="H25" s="225" t="s">
        <v>138</v>
      </c>
      <c r="I25" s="224" t="str">
        <f>GetElement(GetIndex($H25,'Objects Of Interest'!Name)+1,'Objects Of Interest'!Label)</f>
        <v>Identify Food</v>
      </c>
      <c r="J25" s="226" t="s">
        <v>210</v>
      </c>
      <c r="K25" s="227" t="s">
        <v>139</v>
      </c>
      <c r="L25" s="224" t="str">
        <f>GetElement(GetIndex($K25,'Objects Of Interest'!Name)+1,'Objects Of Interest'!Label)</f>
        <v>Food Database</v>
      </c>
      <c r="M25" s="227" t="s">
        <v>100</v>
      </c>
      <c r="N25" s="224" t="str">
        <f>GetElement(GetIndex($M25,'Data Groups'!Name)+1,'Data Groups'!Label)</f>
        <v>Food ID</v>
      </c>
      <c r="O25" s="228" t="b">
        <f t="shared" si="1"/>
        <v>1</v>
      </c>
      <c r="P25" s="229" t="b">
        <v>1</v>
      </c>
      <c r="Q25" s="127" t="b">
        <v>1</v>
      </c>
      <c r="R25" s="127" t="b">
        <v>1</v>
      </c>
      <c r="S25" s="127" t="b">
        <v>1</v>
      </c>
      <c r="T25" s="230">
        <f>CountDataMovement('How to Use'!CheckTriggers,'How to Use'!CheckDataGroups,$O25,$C25,$H25,$M25,T$4,'Trigger Events'!FunctionalProcess,$P25:$S25)</f>
        <v>0</v>
      </c>
      <c r="U25" s="230">
        <f>CountDataMovement('How to Use'!CheckTriggers,'How to Use'!CheckDataGroups,$O25,$C25,$H25,$M25,U$4,'Trigger Events'!FunctionalProcess,$P25:$S25)</f>
        <v>0</v>
      </c>
      <c r="V25" s="230">
        <f>CountDataMovement('How to Use'!CheckTriggers,'How to Use'!CheckDataGroups,$O25,$C25,$H25,$M25,V$4,'Trigger Events'!FunctionalProcess,$P25:$S25)</f>
        <v>0</v>
      </c>
      <c r="W25" s="231">
        <f>CountDataMovement('How to Use'!CheckTriggers,'How to Use'!CheckDataGroups,$O25,$C25,$H25,$M25,W$4,'Trigger Events'!FunctionalProcess,$P25:$S25)</f>
        <v>1</v>
      </c>
      <c r="X25" s="35"/>
      <c r="Z25" t="s">
        <v>266</v>
      </c>
      <c r="AA25" t="s">
        <v>266</v>
      </c>
    </row>
    <row r="26" spans="2:27" ht="12.75" customHeight="1" x14ac:dyDescent="0.2">
      <c r="B26" s="48">
        <f>ROW(B26)-TableRowShift()</f>
        <v>21</v>
      </c>
      <c r="C26" s="220" t="s">
        <v>229</v>
      </c>
      <c r="D26" s="221" t="s">
        <v>67</v>
      </c>
      <c r="E26" s="222" t="s">
        <v>338</v>
      </c>
      <c r="F26" s="223">
        <f>GetElement(GetIndex($C26,'Trigger Events'!FunctionalUser)+1,'Trigger Events'!Name)</f>
        <v>0</v>
      </c>
      <c r="G26" s="224">
        <f>GetElement(GetIndex($F26,'Trigger Events'!Name)+1,'Trigger Events'!Label)</f>
        <v>0</v>
      </c>
      <c r="H26" s="225" t="s">
        <v>138</v>
      </c>
      <c r="I26" s="224" t="str">
        <f>GetElement(GetIndex($H26,'Objects Of Interest'!Name)+1,'Objects Of Interest'!Label)</f>
        <v>Identify Food</v>
      </c>
      <c r="J26" s="226" t="s">
        <v>210</v>
      </c>
      <c r="K26" s="227" t="s">
        <v>135</v>
      </c>
      <c r="L26" s="224" t="str">
        <f>GetElement(GetIndex($K26,'Objects Of Interest'!Name)+1,'Objects Of Interest'!Label)</f>
        <v>Kitchen User</v>
      </c>
      <c r="M26" s="227" t="s">
        <v>99</v>
      </c>
      <c r="N26" s="224" t="str">
        <f>GetElement(GetIndex($M26,'Data Groups'!Name)+1,'Data Groups'!Label)</f>
        <v>Food Search Criteria</v>
      </c>
      <c r="O26" s="228" t="b">
        <f t="shared" si="1"/>
        <v>1</v>
      </c>
      <c r="P26" s="229" t="b">
        <v>1</v>
      </c>
      <c r="Q26" s="127" t="b">
        <v>1</v>
      </c>
      <c r="R26" s="127" t="b">
        <v>1</v>
      </c>
      <c r="S26" s="127" t="b">
        <v>1</v>
      </c>
      <c r="T26" s="230">
        <f>CountDataMovement('How to Use'!CheckTriggers,'How to Use'!CheckDataGroups,$O26,$C26,$H26,$M26,T$4,'Trigger Events'!FunctionalProcess,$P26:$S26)</f>
        <v>0</v>
      </c>
      <c r="U26" s="230">
        <f>CountDataMovement('How to Use'!CheckTriggers,'How to Use'!CheckDataGroups,$O26,$C26,$H26,$M26,U$4,'Trigger Events'!FunctionalProcess,$P26:$S26)</f>
        <v>1</v>
      </c>
      <c r="V26" s="230">
        <f>CountDataMovement('How to Use'!CheckTriggers,'How to Use'!CheckDataGroups,$O26,$C26,$H26,$M26,V$4,'Trigger Events'!FunctionalProcess,$P26:$S26)</f>
        <v>0</v>
      </c>
      <c r="W26" s="231">
        <f>CountDataMovement('How to Use'!CheckTriggers,'How to Use'!CheckDataGroups,$O26,$C26,$H26,$M26,W$4,'Trigger Events'!FunctionalProcess,$P26:$S26)</f>
        <v>0</v>
      </c>
      <c r="X26" s="35"/>
      <c r="Z26" t="s">
        <v>213</v>
      </c>
    </row>
    <row r="27" spans="2:27" ht="12.75" customHeight="1" x14ac:dyDescent="0.2">
      <c r="B27" s="48">
        <f>ROW(B27)-TableRowShift()</f>
        <v>22</v>
      </c>
      <c r="C27" s="220" t="s">
        <v>230</v>
      </c>
      <c r="D27" s="221" t="s">
        <v>163</v>
      </c>
      <c r="E27" s="222" t="s">
        <v>202</v>
      </c>
      <c r="F27" s="223" t="str">
        <f>GetElement(GetIndex($C27,'Trigger Events'!FunctionalUser)+1,'Trigger Events'!Name)</f>
        <v>T04</v>
      </c>
      <c r="G27" s="224" t="str">
        <f>GetElement(GetIndex($F27,'Trigger Events'!Name)+1,'Trigger Events'!Label)</f>
        <v>Manage</v>
      </c>
      <c r="H27" s="225" t="s">
        <v>138</v>
      </c>
      <c r="I27" s="224" t="str">
        <f>GetElement(GetIndex($H27,'Objects Of Interest'!Name)+1,'Objects Of Interest'!Label)</f>
        <v>Identify Food</v>
      </c>
      <c r="J27" s="226" t="s">
        <v>209</v>
      </c>
      <c r="K27" s="227" t="s">
        <v>135</v>
      </c>
      <c r="L27" s="224" t="str">
        <f>GetElement(GetIndex($K27,'Objects Of Interest'!Name)+1,'Objects Of Interest'!Label)</f>
        <v>Kitchen User</v>
      </c>
      <c r="M27" s="227" t="s">
        <v>101</v>
      </c>
      <c r="N27" s="224" t="str">
        <f>GetElement(GetIndex($M27,'Data Groups'!Name)+1,'Data Groups'!Label)</f>
        <v>Food Attributes</v>
      </c>
      <c r="O27" s="228" t="b">
        <f t="shared" si="1"/>
        <v>1</v>
      </c>
      <c r="P27" s="229" t="b">
        <v>1</v>
      </c>
      <c r="Q27" s="127" t="b">
        <v>1</v>
      </c>
      <c r="R27" s="127" t="b">
        <v>1</v>
      </c>
      <c r="S27" s="127" t="b">
        <v>1</v>
      </c>
      <c r="T27" s="230">
        <f>CountDataMovement('How to Use'!CheckTriggers,'How to Use'!CheckDataGroups,$O27,$C27,$H27,$M27,T$4,'Trigger Events'!FunctionalProcess,$P27:$S27)</f>
        <v>1</v>
      </c>
      <c r="U27" s="230">
        <f>CountDataMovement('How to Use'!CheckTriggers,'How to Use'!CheckDataGroups,$O27,$C27,$H27,$M27,U$4,'Trigger Events'!FunctionalProcess,$P27:$S27)</f>
        <v>0</v>
      </c>
      <c r="V27" s="230">
        <f>CountDataMovement('How to Use'!CheckTriggers,'How to Use'!CheckDataGroups,$O27,$C27,$H27,$M27,V$4,'Trigger Events'!FunctionalProcess,$P27:$S27)</f>
        <v>0</v>
      </c>
      <c r="W27" s="231">
        <f>CountDataMovement('How to Use'!CheckTriggers,'How to Use'!CheckDataGroups,$O27,$C27,$H27,$M27,W$4,'Trigger Events'!FunctionalProcess,$P27:$S27)</f>
        <v>0</v>
      </c>
      <c r="X27" s="35"/>
      <c r="Z27" t="s">
        <v>223</v>
      </c>
    </row>
    <row r="28" spans="2:27" ht="12.75" customHeight="1" x14ac:dyDescent="0.2">
      <c r="B28" s="48">
        <f>ROW(B28)-TableRowShift()</f>
        <v>23</v>
      </c>
      <c r="C28" s="220" t="s">
        <v>231</v>
      </c>
      <c r="D28" s="221" t="s">
        <v>164</v>
      </c>
      <c r="E28" s="222" t="s">
        <v>335</v>
      </c>
      <c r="F28" s="223">
        <f>GetElement(GetIndex($C28,'Trigger Events'!FunctionalUser)+1,'Trigger Events'!Name)</f>
        <v>0</v>
      </c>
      <c r="G28" s="224">
        <f>GetElement(GetIndex($F28,'Trigger Events'!Name)+1,'Trigger Events'!Label)</f>
        <v>0</v>
      </c>
      <c r="H28" s="225" t="s">
        <v>138</v>
      </c>
      <c r="I28" s="224" t="str">
        <f>GetElement(GetIndex($H28,'Objects Of Interest'!Name)+1,'Objects Of Interest'!Label)</f>
        <v>Identify Food</v>
      </c>
      <c r="J28" s="226" t="s">
        <v>210</v>
      </c>
      <c r="K28" s="227" t="s">
        <v>139</v>
      </c>
      <c r="L28" s="224" t="str">
        <f>GetElement(GetIndex($K28,'Objects Of Interest'!Name)+1,'Objects Of Interest'!Label)</f>
        <v>Food Database</v>
      </c>
      <c r="M28" s="227" t="s">
        <v>101</v>
      </c>
      <c r="N28" s="224" t="str">
        <f>GetElement(GetIndex($M28,'Data Groups'!Name)+1,'Data Groups'!Label)</f>
        <v>Food Attributes</v>
      </c>
      <c r="O28" s="228" t="b">
        <f t="shared" si="1"/>
        <v>1</v>
      </c>
      <c r="P28" s="229" t="b">
        <v>1</v>
      </c>
      <c r="Q28" s="127" t="b">
        <v>1</v>
      </c>
      <c r="R28" s="127" t="b">
        <v>1</v>
      </c>
      <c r="S28" s="127" t="b">
        <v>1</v>
      </c>
      <c r="T28" s="230">
        <f>CountDataMovement('How to Use'!CheckTriggers,'How to Use'!CheckDataGroups,$O28,$C28,$H28,$M28,T$4,'Trigger Events'!FunctionalProcess,$P28:$S28)</f>
        <v>0</v>
      </c>
      <c r="U28" s="230">
        <f>CountDataMovement('How to Use'!CheckTriggers,'How to Use'!CheckDataGroups,$O28,$C28,$H28,$M28,U$4,'Trigger Events'!FunctionalProcess,$P28:$S28)</f>
        <v>0</v>
      </c>
      <c r="V28" s="230">
        <f>CountDataMovement('How to Use'!CheckTriggers,'How to Use'!CheckDataGroups,$O28,$C28,$H28,$M28,V$4,'Trigger Events'!FunctionalProcess,$P28:$S28)</f>
        <v>0</v>
      </c>
      <c r="W28" s="231">
        <f>CountDataMovement('How to Use'!CheckTriggers,'How to Use'!CheckDataGroups,$O28,$C28,$H28,$M28,W$4,'Trigger Events'!FunctionalProcess,$P28:$S28)</f>
        <v>1</v>
      </c>
      <c r="X28" s="35"/>
      <c r="Z28" t="s">
        <v>227</v>
      </c>
    </row>
    <row r="29" spans="2:27" ht="12.75" customHeight="1" x14ac:dyDescent="0.2">
      <c r="B29" s="48">
        <f>ROW(B29)-TableRowShift()</f>
        <v>24</v>
      </c>
      <c r="C29" s="220" t="s">
        <v>232</v>
      </c>
      <c r="D29" s="221" t="s">
        <v>165</v>
      </c>
      <c r="E29" s="222" t="s">
        <v>336</v>
      </c>
      <c r="F29" s="223">
        <f>GetElement(GetIndex($C29,'Trigger Events'!FunctionalUser)+1,'Trigger Events'!Name)</f>
        <v>0</v>
      </c>
      <c r="G29" s="224">
        <f>GetElement(GetIndex($F29,'Trigger Events'!Name)+1,'Trigger Events'!Label)</f>
        <v>0</v>
      </c>
      <c r="H29" s="225" t="s">
        <v>138</v>
      </c>
      <c r="I29" s="224" t="str">
        <f>GetElement(GetIndex($H29,'Objects Of Interest'!Name)+1,'Objects Of Interest'!Label)</f>
        <v>Identify Food</v>
      </c>
      <c r="J29" s="226" t="s">
        <v>209</v>
      </c>
      <c r="K29" s="227" t="s">
        <v>139</v>
      </c>
      <c r="L29" s="224" t="str">
        <f>GetElement(GetIndex($K29,'Objects Of Interest'!Name)+1,'Objects Of Interest'!Label)</f>
        <v>Food Database</v>
      </c>
      <c r="M29" s="227" t="s">
        <v>101</v>
      </c>
      <c r="N29" s="224" t="str">
        <f>GetElement(GetIndex($M29,'Data Groups'!Name)+1,'Data Groups'!Label)</f>
        <v>Food Attributes</v>
      </c>
      <c r="O29" s="228" t="b">
        <f t="shared" si="1"/>
        <v>1</v>
      </c>
      <c r="P29" s="229" t="b">
        <v>1</v>
      </c>
      <c r="Q29" s="127" t="b">
        <v>1</v>
      </c>
      <c r="R29" s="127" t="b">
        <v>1</v>
      </c>
      <c r="S29" s="127" t="b">
        <v>1</v>
      </c>
      <c r="T29" s="230">
        <f>CountDataMovement('How to Use'!CheckTriggers,'How to Use'!CheckDataGroups,$O29,$C29,$H29,$M29,T$4,'Trigger Events'!FunctionalProcess,$P29:$S29)</f>
        <v>0</v>
      </c>
      <c r="U29" s="230">
        <f>CountDataMovement('How to Use'!CheckTriggers,'How to Use'!CheckDataGroups,$O29,$C29,$H29,$M29,U$4,'Trigger Events'!FunctionalProcess,$P29:$S29)</f>
        <v>0</v>
      </c>
      <c r="V29" s="230">
        <f>CountDataMovement('How to Use'!CheckTriggers,'How to Use'!CheckDataGroups,$O29,$C29,$H29,$M29,V$4,'Trigger Events'!FunctionalProcess,$P29:$S29)</f>
        <v>1</v>
      </c>
      <c r="W29" s="231">
        <f>CountDataMovement('How to Use'!CheckTriggers,'How to Use'!CheckDataGroups,$O29,$C29,$H29,$M29,W$4,'Trigger Events'!FunctionalProcess,$P29:$S29)</f>
        <v>0</v>
      </c>
      <c r="X29" s="35"/>
      <c r="Z29" t="s">
        <v>232</v>
      </c>
    </row>
    <row r="30" spans="2:27" ht="12.75" customHeight="1" x14ac:dyDescent="0.2">
      <c r="B30" s="48">
        <f>ROW(B30)-TableRowShift()</f>
        <v>25</v>
      </c>
      <c r="C30" s="220" t="s">
        <v>233</v>
      </c>
      <c r="D30" s="221" t="s">
        <v>165</v>
      </c>
      <c r="E30" s="222" t="s">
        <v>337</v>
      </c>
      <c r="F30" s="223">
        <f>GetElement(GetIndex($C30,'Trigger Events'!FunctionalUser)+1,'Trigger Events'!Name)</f>
        <v>0</v>
      </c>
      <c r="G30" s="224">
        <f>GetElement(GetIndex($F30,'Trigger Events'!Name)+1,'Trigger Events'!Label)</f>
        <v>0</v>
      </c>
      <c r="H30" s="225" t="s">
        <v>138</v>
      </c>
      <c r="I30" s="224" t="str">
        <f>GetElement(GetIndex($H30,'Objects Of Interest'!Name)+1,'Objects Of Interest'!Label)</f>
        <v>Identify Food</v>
      </c>
      <c r="J30" s="226" t="s">
        <v>210</v>
      </c>
      <c r="K30" s="227" t="s">
        <v>135</v>
      </c>
      <c r="L30" s="224" t="str">
        <f>GetElement(GetIndex($K30,'Objects Of Interest'!Name)+1,'Objects Of Interest'!Label)</f>
        <v>Kitchen User</v>
      </c>
      <c r="M30" s="227" t="s">
        <v>101</v>
      </c>
      <c r="N30" s="224" t="str">
        <f>GetElement(GetIndex($M30,'Data Groups'!Name)+1,'Data Groups'!Label)</f>
        <v>Food Attributes</v>
      </c>
      <c r="O30" s="228" t="b">
        <f t="shared" si="1"/>
        <v>1</v>
      </c>
      <c r="P30" s="229" t="b">
        <v>1</v>
      </c>
      <c r="Q30" s="127" t="b">
        <v>1</v>
      </c>
      <c r="R30" s="127" t="b">
        <v>1</v>
      </c>
      <c r="S30" s="127" t="b">
        <v>1</v>
      </c>
      <c r="T30" s="230">
        <f>CountDataMovement('How to Use'!CheckTriggers,'How to Use'!CheckDataGroups,$O30,$C30,$H30,$M30,T$4,'Trigger Events'!FunctionalProcess,$P30:$S30)</f>
        <v>0</v>
      </c>
      <c r="U30" s="230">
        <f>CountDataMovement('How to Use'!CheckTriggers,'How to Use'!CheckDataGroups,$O30,$C30,$H30,$M30,U$4,'Trigger Events'!FunctionalProcess,$P30:$S30)</f>
        <v>1</v>
      </c>
      <c r="V30" s="230">
        <f>CountDataMovement('How to Use'!CheckTriggers,'How to Use'!CheckDataGroups,$O30,$C30,$H30,$M30,V$4,'Trigger Events'!FunctionalProcess,$P30:$S30)</f>
        <v>0</v>
      </c>
      <c r="W30" s="231">
        <f>CountDataMovement('How to Use'!CheckTriggers,'How to Use'!CheckDataGroups,$O30,$C30,$H30,$M30,W$4,'Trigger Events'!FunctionalProcess,$P30:$S30)</f>
        <v>0</v>
      </c>
      <c r="X30" s="35"/>
      <c r="Z30" t="s">
        <v>235</v>
      </c>
    </row>
    <row r="31" spans="2:27" ht="12.75" customHeight="1" x14ac:dyDescent="0.2">
      <c r="B31" s="48">
        <f>ROW(B31)-TableRowShift()</f>
        <v>26</v>
      </c>
      <c r="C31" s="220" t="s">
        <v>234</v>
      </c>
      <c r="D31" s="221" t="s">
        <v>166</v>
      </c>
      <c r="E31" s="222" t="s">
        <v>360</v>
      </c>
      <c r="F31" s="223">
        <f>GetElement(GetIndex($C31,'Trigger Events'!FunctionalUser)+1,'Trigger Events'!Name)</f>
        <v>0</v>
      </c>
      <c r="G31" s="224">
        <f>GetElement(GetIndex($F31,'Trigger Events'!Name)+1,'Trigger Events'!Label)</f>
        <v>0</v>
      </c>
      <c r="H31" s="225" t="s">
        <v>141</v>
      </c>
      <c r="I31" s="224" t="str">
        <f>GetElement(GetIndex($H31,'Objects Of Interest'!Name)+1,'Objects Of Interest'!Label)</f>
        <v>Kitchen Inventory</v>
      </c>
      <c r="J31" s="226" t="s">
        <v>209</v>
      </c>
      <c r="K31" s="227" t="s">
        <v>135</v>
      </c>
      <c r="L31" s="224" t="str">
        <f>GetElement(GetIndex($K31,'Objects Of Interest'!Name)+1,'Objects Of Interest'!Label)</f>
        <v>Kitchen User</v>
      </c>
      <c r="M31" s="227" t="s">
        <v>98</v>
      </c>
      <c r="N31" s="224" t="str">
        <f>GetElement(GetIndex($M31,'Data Groups'!Name)+1,'Data Groups'!Label)</f>
        <v>Recipe Group</v>
      </c>
      <c r="O31" s="228" t="b">
        <f t="shared" si="1"/>
        <v>1</v>
      </c>
      <c r="P31" s="229" t="b">
        <v>1</v>
      </c>
      <c r="Q31" s="127" t="b">
        <v>1</v>
      </c>
      <c r="R31" s="127" t="b">
        <v>1</v>
      </c>
      <c r="S31" s="127" t="b">
        <v>1</v>
      </c>
      <c r="T31" s="230">
        <f>CountDataMovement('How to Use'!CheckTriggers,'How to Use'!CheckDataGroups,$O31,$C31,$H31,$M31,T$4,'Trigger Events'!FunctionalProcess,$P31:$S31)</f>
        <v>1</v>
      </c>
      <c r="U31" s="230">
        <f>CountDataMovement('How to Use'!CheckTriggers,'How to Use'!CheckDataGroups,$O31,$C31,$H31,$M31,U$4,'Trigger Events'!FunctionalProcess,$P31:$S31)</f>
        <v>0</v>
      </c>
      <c r="V31" s="230">
        <f>CountDataMovement('How to Use'!CheckTriggers,'How to Use'!CheckDataGroups,$O31,$C31,$H31,$M31,V$4,'Trigger Events'!FunctionalProcess,$P31:$S31)</f>
        <v>0</v>
      </c>
      <c r="W31" s="231">
        <f>CountDataMovement('How to Use'!CheckTriggers,'How to Use'!CheckDataGroups,$O31,$C31,$H31,$M31,W$4,'Trigger Events'!FunctionalProcess,$P31:$S31)</f>
        <v>0</v>
      </c>
      <c r="X31" s="35"/>
      <c r="Z31" t="s">
        <v>236</v>
      </c>
    </row>
    <row r="32" spans="2:27" ht="12.75" customHeight="1" x14ac:dyDescent="0.2">
      <c r="B32" s="48">
        <f>ROW(B32)-TableRowShift()</f>
        <v>27</v>
      </c>
      <c r="C32" s="220" t="s">
        <v>235</v>
      </c>
      <c r="D32" s="221" t="s">
        <v>167</v>
      </c>
      <c r="E32" s="222" t="s">
        <v>361</v>
      </c>
      <c r="F32" s="223">
        <f>GetElement(GetIndex($C32,'Trigger Events'!FunctionalUser)+1,'Trigger Events'!Name)</f>
        <v>0</v>
      </c>
      <c r="G32" s="224">
        <f>GetElement(GetIndex($F32,'Trigger Events'!Name)+1,'Trigger Events'!Label)</f>
        <v>0</v>
      </c>
      <c r="H32" s="225" t="s">
        <v>141</v>
      </c>
      <c r="I32" s="224" t="str">
        <f>GetElement(GetIndex($H32,'Objects Of Interest'!Name)+1,'Objects Of Interest'!Label)</f>
        <v>Kitchen Inventory</v>
      </c>
      <c r="J32" s="226" t="s">
        <v>209</v>
      </c>
      <c r="K32" s="227" t="s">
        <v>57</v>
      </c>
      <c r="L32" s="224" t="str">
        <f>GetElement(GetIndex($K32,'Objects Of Interest'!Name)+1,'Objects Of Interest'!Label)</f>
        <v>Inventory Database</v>
      </c>
      <c r="M32" s="227" t="s">
        <v>107</v>
      </c>
      <c r="N32" s="224" t="str">
        <f>GetElement(GetIndex($M32,'Data Groups'!Name)+1,'Data Groups'!Label)</f>
        <v>Nutrition Facts</v>
      </c>
      <c r="O32" s="228" t="b">
        <f t="shared" si="1"/>
        <v>1</v>
      </c>
      <c r="P32" s="229" t="b">
        <v>1</v>
      </c>
      <c r="Q32" s="127" t="b">
        <v>1</v>
      </c>
      <c r="R32" s="127" t="b">
        <v>1</v>
      </c>
      <c r="S32" s="127" t="b">
        <v>1</v>
      </c>
      <c r="T32" s="230">
        <f>CountDataMovement('How to Use'!CheckTriggers,'How to Use'!CheckDataGroups,$O32,$C32,$H32,$M32,T$4,'Trigger Events'!FunctionalProcess,$P32:$S32)</f>
        <v>0</v>
      </c>
      <c r="U32" s="230">
        <f>CountDataMovement('How to Use'!CheckTriggers,'How to Use'!CheckDataGroups,$O32,$C32,$H32,$M32,U$4,'Trigger Events'!FunctionalProcess,$P32:$S32)</f>
        <v>0</v>
      </c>
      <c r="V32" s="230">
        <f>CountDataMovement('How to Use'!CheckTriggers,'How to Use'!CheckDataGroups,$O32,$C32,$H32,$M32,V$4,'Trigger Events'!FunctionalProcess,$P32:$S32)</f>
        <v>1</v>
      </c>
      <c r="W32" s="231">
        <f>CountDataMovement('How to Use'!CheckTriggers,'How to Use'!CheckDataGroups,$O32,$C32,$H32,$M32,W$4,'Trigger Events'!FunctionalProcess,$P32:$S32)</f>
        <v>0</v>
      </c>
      <c r="X32" s="35"/>
      <c r="Z32" t="s">
        <v>241</v>
      </c>
    </row>
    <row r="33" spans="2:26" ht="12.75" customHeight="1" x14ac:dyDescent="0.2">
      <c r="B33" s="48">
        <f>ROW(B33)-TableRowShift()</f>
        <v>28</v>
      </c>
      <c r="C33" s="220" t="s">
        <v>236</v>
      </c>
      <c r="D33" s="221" t="s">
        <v>168</v>
      </c>
      <c r="E33" s="222" t="s">
        <v>203</v>
      </c>
      <c r="F33" s="223">
        <f>GetElement(GetIndex($C33,'Trigger Events'!FunctionalUser)+1,'Trigger Events'!Name)</f>
        <v>0</v>
      </c>
      <c r="G33" s="224">
        <f>GetElement(GetIndex($F33,'Trigger Events'!Name)+1,'Trigger Events'!Label)</f>
        <v>0</v>
      </c>
      <c r="H33" s="225" t="s">
        <v>141</v>
      </c>
      <c r="I33" s="224" t="str">
        <f>GetElement(GetIndex($H33,'Objects Of Interest'!Name)+1,'Objects Of Interest'!Label)</f>
        <v>Kitchen Inventory</v>
      </c>
      <c r="J33" s="226" t="s">
        <v>209</v>
      </c>
      <c r="K33" s="227" t="s">
        <v>136</v>
      </c>
      <c r="L33" s="224" t="str">
        <f>GetElement(GetIndex($K33,'Objects Of Interest'!Name)+1,'Objects Of Interest'!Label)</f>
        <v>Recipe Database</v>
      </c>
      <c r="M33" s="227" t="s">
        <v>101</v>
      </c>
      <c r="N33" s="224" t="str">
        <f>GetElement(GetIndex($M33,'Data Groups'!Name)+1,'Data Groups'!Label)</f>
        <v>Food Attributes</v>
      </c>
      <c r="O33" s="228" t="b">
        <f t="shared" si="1"/>
        <v>1</v>
      </c>
      <c r="P33" s="229" t="b">
        <v>1</v>
      </c>
      <c r="Q33" s="127" t="b">
        <v>1</v>
      </c>
      <c r="R33" s="127" t="b">
        <v>1</v>
      </c>
      <c r="S33" s="127" t="b">
        <v>1</v>
      </c>
      <c r="T33" s="230">
        <f>CountDataMovement('How to Use'!CheckTriggers,'How to Use'!CheckDataGroups,$O33,$C33,$H33,$M33,T$4,'Trigger Events'!FunctionalProcess,$P33:$S33)</f>
        <v>0</v>
      </c>
      <c r="U33" s="230">
        <f>CountDataMovement('How to Use'!CheckTriggers,'How to Use'!CheckDataGroups,$O33,$C33,$H33,$M33,U$4,'Trigger Events'!FunctionalProcess,$P33:$S33)</f>
        <v>0</v>
      </c>
      <c r="V33" s="230">
        <f>CountDataMovement('How to Use'!CheckTriggers,'How to Use'!CheckDataGroups,$O33,$C33,$H33,$M33,V$4,'Trigger Events'!FunctionalProcess,$P33:$S33)</f>
        <v>1</v>
      </c>
      <c r="W33" s="231">
        <f>CountDataMovement('How to Use'!CheckTriggers,'How to Use'!CheckDataGroups,$O33,$C33,$H33,$M33,W$4,'Trigger Events'!FunctionalProcess,$P33:$S33)</f>
        <v>0</v>
      </c>
      <c r="X33" s="35"/>
      <c r="Z33" t="s">
        <v>243</v>
      </c>
    </row>
    <row r="34" spans="2:26" ht="12.75" customHeight="1" x14ac:dyDescent="0.2">
      <c r="B34" s="48">
        <f>ROW(B34)-TableRowShift()</f>
        <v>29</v>
      </c>
      <c r="C34" s="220" t="s">
        <v>237</v>
      </c>
      <c r="D34" s="221" t="s">
        <v>169</v>
      </c>
      <c r="E34" s="222" t="s">
        <v>204</v>
      </c>
      <c r="F34" s="223">
        <f>GetElement(GetIndex($C34,'Trigger Events'!FunctionalUser)+1,'Trigger Events'!Name)</f>
        <v>0</v>
      </c>
      <c r="G34" s="224">
        <f>GetElement(GetIndex($F34,'Trigger Events'!Name)+1,'Trigger Events'!Label)</f>
        <v>0</v>
      </c>
      <c r="H34" s="225" t="s">
        <v>141</v>
      </c>
      <c r="I34" s="224" t="str">
        <f>GetElement(GetIndex($H34,'Objects Of Interest'!Name)+1,'Objects Of Interest'!Label)</f>
        <v>Kitchen Inventory</v>
      </c>
      <c r="J34" s="226" t="s">
        <v>210</v>
      </c>
      <c r="K34" s="227" t="s">
        <v>135</v>
      </c>
      <c r="L34" s="224" t="str">
        <f>GetElement(GetIndex($K34,'Objects Of Interest'!Name)+1,'Objects Of Interest'!Label)</f>
        <v>Kitchen User</v>
      </c>
      <c r="M34" s="227" t="s">
        <v>102</v>
      </c>
      <c r="N34" s="224" t="str">
        <f>GetElement(GetIndex($M34,'Data Groups'!Name)+1,'Data Groups'!Label)</f>
        <v>Shopping LIst</v>
      </c>
      <c r="O34" s="228" t="b">
        <f t="shared" si="1"/>
        <v>1</v>
      </c>
      <c r="P34" s="229" t="b">
        <v>1</v>
      </c>
      <c r="Q34" s="127" t="b">
        <v>1</v>
      </c>
      <c r="R34" s="127" t="b">
        <v>1</v>
      </c>
      <c r="S34" s="127" t="b">
        <v>1</v>
      </c>
      <c r="T34" s="230">
        <f>CountDataMovement('How to Use'!CheckTriggers,'How to Use'!CheckDataGroups,$O34,$C34,$H34,$M34,T$4,'Trigger Events'!FunctionalProcess,$P34:$S34)</f>
        <v>0</v>
      </c>
      <c r="U34" s="230">
        <f>CountDataMovement('How to Use'!CheckTriggers,'How to Use'!CheckDataGroups,$O34,$C34,$H34,$M34,U$4,'Trigger Events'!FunctionalProcess,$P34:$S34)</f>
        <v>1</v>
      </c>
      <c r="V34" s="230">
        <f>CountDataMovement('How to Use'!CheckTriggers,'How to Use'!CheckDataGroups,$O34,$C34,$H34,$M34,V$4,'Trigger Events'!FunctionalProcess,$P34:$S34)</f>
        <v>0</v>
      </c>
      <c r="W34" s="231">
        <f>CountDataMovement('How to Use'!CheckTriggers,'How to Use'!CheckDataGroups,$O34,$C34,$H34,$M34,W$4,'Trigger Events'!FunctionalProcess,$P34:$S34)</f>
        <v>0</v>
      </c>
      <c r="X34" s="35"/>
      <c r="Z34" t="s">
        <v>244</v>
      </c>
    </row>
    <row r="35" spans="2:26" ht="12.75" customHeight="1" x14ac:dyDescent="0.2">
      <c r="B35" s="48">
        <f>ROW(B35)-TableRowShift()</f>
        <v>30</v>
      </c>
      <c r="C35" s="220" t="s">
        <v>238</v>
      </c>
      <c r="D35" s="221" t="s">
        <v>170</v>
      </c>
      <c r="E35" s="222" t="s">
        <v>333</v>
      </c>
      <c r="F35" s="223" t="str">
        <f>GetElement(GetIndex($C35,'Trigger Events'!FunctionalUser)+1,'Trigger Events'!Name)</f>
        <v>T05</v>
      </c>
      <c r="G35" s="224" t="str">
        <f>GetElement(GetIndex($F35,'Trigger Events'!Name)+1,'Trigger Events'!Label)</f>
        <v>Shopping</v>
      </c>
      <c r="H35" s="225" t="s">
        <v>141</v>
      </c>
      <c r="I35" s="224" t="str">
        <f>GetElement(GetIndex($H35,'Objects Of Interest'!Name)+1,'Objects Of Interest'!Label)</f>
        <v>Kitchen Inventory</v>
      </c>
      <c r="J35" s="226" t="s">
        <v>209</v>
      </c>
      <c r="K35" s="227" t="s">
        <v>140</v>
      </c>
      <c r="L35" s="224" t="str">
        <f>GetElement(GetIndex($K35,'Objects Of Interest'!Name)+1,'Objects Of Interest'!Label)</f>
        <v>Grocery Shop</v>
      </c>
      <c r="M35" s="227" t="s">
        <v>102</v>
      </c>
      <c r="N35" s="224" t="str">
        <f>GetElement(GetIndex($M35,'Data Groups'!Name)+1,'Data Groups'!Label)</f>
        <v>Shopping LIst</v>
      </c>
      <c r="O35" s="228" t="b">
        <f t="shared" si="1"/>
        <v>1</v>
      </c>
      <c r="P35" s="229" t="b">
        <v>1</v>
      </c>
      <c r="Q35" s="127" t="b">
        <v>1</v>
      </c>
      <c r="R35" s="127" t="b">
        <v>1</v>
      </c>
      <c r="S35" s="127" t="b">
        <v>1</v>
      </c>
      <c r="T35" s="230">
        <f>CountDataMovement('How to Use'!CheckTriggers,'How to Use'!CheckDataGroups,$O35,$C35,$H35,$M35,T$4,'Trigger Events'!FunctionalProcess,$P35:$S35)</f>
        <v>1</v>
      </c>
      <c r="U35" s="230">
        <f>CountDataMovement('How to Use'!CheckTriggers,'How to Use'!CheckDataGroups,$O35,$C35,$H35,$M35,U$4,'Trigger Events'!FunctionalProcess,$P35:$S35)</f>
        <v>0</v>
      </c>
      <c r="V35" s="230">
        <f>CountDataMovement('How to Use'!CheckTriggers,'How to Use'!CheckDataGroups,$O35,$C35,$H35,$M35,V$4,'Trigger Events'!FunctionalProcess,$P35:$S35)</f>
        <v>0</v>
      </c>
      <c r="W35" s="231">
        <f>CountDataMovement('How to Use'!CheckTriggers,'How to Use'!CheckDataGroups,$O35,$C35,$H35,$M35,W$4,'Trigger Events'!FunctionalProcess,$P35:$S35)</f>
        <v>0</v>
      </c>
      <c r="X35" s="35"/>
      <c r="Z35" t="s">
        <v>248</v>
      </c>
    </row>
    <row r="36" spans="2:26" ht="12.75" customHeight="1" x14ac:dyDescent="0.2">
      <c r="B36" s="48">
        <f>ROW(B36)-TableRowShift()</f>
        <v>31</v>
      </c>
      <c r="C36" s="220" t="s">
        <v>239</v>
      </c>
      <c r="D36" s="221" t="s">
        <v>171</v>
      </c>
      <c r="E36" s="222" t="s">
        <v>334</v>
      </c>
      <c r="F36" s="223">
        <f>GetElement(GetIndex($C36,'Trigger Events'!FunctionalUser)+1,'Trigger Events'!Name)</f>
        <v>0</v>
      </c>
      <c r="G36" s="224">
        <f>GetElement(GetIndex($F36,'Trigger Events'!Name)+1,'Trigger Events'!Label)</f>
        <v>0</v>
      </c>
      <c r="H36" s="225" t="s">
        <v>141</v>
      </c>
      <c r="I36" s="224" t="str">
        <f>GetElement(GetIndex($H36,'Objects Of Interest'!Name)+1,'Objects Of Interest'!Label)</f>
        <v>Kitchen Inventory</v>
      </c>
      <c r="J36" s="226" t="s">
        <v>209</v>
      </c>
      <c r="K36" s="227" t="s">
        <v>135</v>
      </c>
      <c r="L36" s="224" t="str">
        <f>GetElement(GetIndex($K36,'Objects Of Interest'!Name)+1,'Objects Of Interest'!Label)</f>
        <v>Kitchen User</v>
      </c>
      <c r="M36" s="227" t="s">
        <v>102</v>
      </c>
      <c r="N36" s="224" t="str">
        <f>GetElement(GetIndex($M36,'Data Groups'!Name)+1,'Data Groups'!Label)</f>
        <v>Shopping LIst</v>
      </c>
      <c r="O36" s="228" t="b">
        <f t="shared" si="1"/>
        <v>1</v>
      </c>
      <c r="P36" s="229" t="b">
        <v>1</v>
      </c>
      <c r="Q36" s="127" t="b">
        <v>1</v>
      </c>
      <c r="R36" s="127" t="b">
        <v>1</v>
      </c>
      <c r="S36" s="127" t="b">
        <v>1</v>
      </c>
      <c r="T36" s="230">
        <f>CountDataMovement('How to Use'!CheckTriggers,'How to Use'!CheckDataGroups,$O36,$C36,$H36,$M36,T$4,'Trigger Events'!FunctionalProcess,$P36:$S36)</f>
        <v>1</v>
      </c>
      <c r="U36" s="230">
        <f>CountDataMovement('How to Use'!CheckTriggers,'How to Use'!CheckDataGroups,$O36,$C36,$H36,$M36,U$4,'Trigger Events'!FunctionalProcess,$P36:$S36)</f>
        <v>0</v>
      </c>
      <c r="V36" s="230">
        <f>CountDataMovement('How to Use'!CheckTriggers,'How to Use'!CheckDataGroups,$O36,$C36,$H36,$M36,V$4,'Trigger Events'!FunctionalProcess,$P36:$S36)</f>
        <v>0</v>
      </c>
      <c r="W36" s="231">
        <f>CountDataMovement('How to Use'!CheckTriggers,'How to Use'!CheckDataGroups,$O36,$C36,$H36,$M36,W$4,'Trigger Events'!FunctionalProcess,$P36:$S36)</f>
        <v>0</v>
      </c>
      <c r="X36" s="35"/>
      <c r="Z36" t="s">
        <v>249</v>
      </c>
    </row>
    <row r="37" spans="2:26" ht="12.75" customHeight="1" x14ac:dyDescent="0.2">
      <c r="B37" s="48">
        <f>ROW(B37)-TableRowShift()</f>
        <v>32</v>
      </c>
      <c r="C37" s="220" t="s">
        <v>240</v>
      </c>
      <c r="D37" s="221" t="s">
        <v>172</v>
      </c>
      <c r="E37" s="222" t="s">
        <v>367</v>
      </c>
      <c r="F37" s="223">
        <f>GetElement(GetIndex($C37,'Trigger Events'!FunctionalUser)+1,'Trigger Events'!Name)</f>
        <v>0</v>
      </c>
      <c r="G37" s="224">
        <f>GetElement(GetIndex($F37,'Trigger Events'!Name)+1,'Trigger Events'!Label)</f>
        <v>0</v>
      </c>
      <c r="H37" s="225" t="s">
        <v>141</v>
      </c>
      <c r="I37" s="224" t="str">
        <f>GetElement(GetIndex($H37,'Objects Of Interest'!Name)+1,'Objects Of Interest'!Label)</f>
        <v>Kitchen Inventory</v>
      </c>
      <c r="J37" s="226" t="s">
        <v>210</v>
      </c>
      <c r="K37" s="227" t="s">
        <v>57</v>
      </c>
      <c r="L37" s="224" t="str">
        <f>GetElement(GetIndex($K37,'Objects Of Interest'!Name)+1,'Objects Of Interest'!Label)</f>
        <v>Inventory Database</v>
      </c>
      <c r="M37" s="227" t="s">
        <v>102</v>
      </c>
      <c r="N37" s="224" t="str">
        <f>GetElement(GetIndex($M37,'Data Groups'!Name)+1,'Data Groups'!Label)</f>
        <v>Shopping LIst</v>
      </c>
      <c r="O37" s="228" t="b">
        <f t="shared" si="1"/>
        <v>1</v>
      </c>
      <c r="P37" s="229" t="b">
        <v>1</v>
      </c>
      <c r="Q37" s="127" t="b">
        <v>1</v>
      </c>
      <c r="R37" s="127" t="b">
        <v>1</v>
      </c>
      <c r="S37" s="127" t="b">
        <v>1</v>
      </c>
      <c r="T37" s="230">
        <f>CountDataMovement('How to Use'!CheckTriggers,'How to Use'!CheckDataGroups,$O37,$C37,$H37,$M37,T$4,'Trigger Events'!FunctionalProcess,$P37:$S37)</f>
        <v>0</v>
      </c>
      <c r="U37" s="230">
        <f>CountDataMovement('How to Use'!CheckTriggers,'How to Use'!CheckDataGroups,$O37,$C37,$H37,$M37,U$4,'Trigger Events'!FunctionalProcess,$P37:$S37)</f>
        <v>0</v>
      </c>
      <c r="V37" s="230">
        <f>CountDataMovement('How to Use'!CheckTriggers,'How to Use'!CheckDataGroups,$O37,$C37,$H37,$M37,V$4,'Trigger Events'!FunctionalProcess,$P37:$S37)</f>
        <v>0</v>
      </c>
      <c r="W37" s="231">
        <f>CountDataMovement('How to Use'!CheckTriggers,'How to Use'!CheckDataGroups,$O37,$C37,$H37,$M37,W$4,'Trigger Events'!FunctionalProcess,$P37:$S37)</f>
        <v>1</v>
      </c>
      <c r="X37" s="35"/>
      <c r="Z37" t="s">
        <v>250</v>
      </c>
    </row>
    <row r="38" spans="2:26" ht="12.75" customHeight="1" x14ac:dyDescent="0.2">
      <c r="B38" s="48">
        <f>ROW(B38)-TableRowShift()</f>
        <v>33</v>
      </c>
      <c r="C38" s="220" t="s">
        <v>241</v>
      </c>
      <c r="D38" s="221" t="s">
        <v>173</v>
      </c>
      <c r="E38" s="222" t="s">
        <v>366</v>
      </c>
      <c r="F38" s="223">
        <f>GetElement(GetIndex($C38,'Trigger Events'!FunctionalUser)+1,'Trigger Events'!Name)</f>
        <v>0</v>
      </c>
      <c r="G38" s="224">
        <f>GetElement(GetIndex($F38,'Trigger Events'!Name)+1,'Trigger Events'!Label)</f>
        <v>0</v>
      </c>
      <c r="H38" s="225" t="s">
        <v>141</v>
      </c>
      <c r="I38" s="224" t="str">
        <f>GetElement(GetIndex($H38,'Objects Of Interest'!Name)+1,'Objects Of Interest'!Label)</f>
        <v>Kitchen Inventory</v>
      </c>
      <c r="J38" s="226" t="s">
        <v>209</v>
      </c>
      <c r="K38" s="227" t="s">
        <v>57</v>
      </c>
      <c r="L38" s="224" t="str">
        <f>GetElement(GetIndex($K38,'Objects Of Interest'!Name)+1,'Objects Of Interest'!Label)</f>
        <v>Inventory Database</v>
      </c>
      <c r="M38" s="227" t="s">
        <v>103</v>
      </c>
      <c r="N38" s="224" t="str">
        <f>GetElement(GetIndex($M38,'Data Groups'!Name)+1,'Data Groups'!Label)</f>
        <v>Food List</v>
      </c>
      <c r="O38" s="228" t="b">
        <f t="shared" ref="O38:O65" si="2">IsUniqueDataGroup(M38,H38,K38,LEFT(C38),B38,FunctionalProcess,ObjectReference,DataGroup)</f>
        <v>1</v>
      </c>
      <c r="P38" s="229" t="b">
        <v>1</v>
      </c>
      <c r="Q38" s="127" t="b">
        <v>1</v>
      </c>
      <c r="R38" s="127" t="b">
        <v>1</v>
      </c>
      <c r="S38" s="127" t="b">
        <v>1</v>
      </c>
      <c r="T38" s="230">
        <f>CountDataMovement('How to Use'!CheckTriggers,'How to Use'!CheckDataGroups,$O38,$C38,$H38,$M38,T$4,'Trigger Events'!FunctionalProcess,$P38:$S38)</f>
        <v>0</v>
      </c>
      <c r="U38" s="230">
        <f>CountDataMovement('How to Use'!CheckTriggers,'How to Use'!CheckDataGroups,$O38,$C38,$H38,$M38,U$4,'Trigger Events'!FunctionalProcess,$P38:$S38)</f>
        <v>0</v>
      </c>
      <c r="V38" s="230">
        <f>CountDataMovement('How to Use'!CheckTriggers,'How to Use'!CheckDataGroups,$O38,$C38,$H38,$M38,V$4,'Trigger Events'!FunctionalProcess,$P38:$S38)</f>
        <v>1</v>
      </c>
      <c r="W38" s="231">
        <f>CountDataMovement('How to Use'!CheckTriggers,'How to Use'!CheckDataGroups,$O38,$C38,$H38,$M38,W$4,'Trigger Events'!FunctionalProcess,$P38:$S38)</f>
        <v>0</v>
      </c>
      <c r="X38" s="35"/>
      <c r="Z38" t="s">
        <v>267</v>
      </c>
    </row>
    <row r="39" spans="2:26" ht="12.75" customHeight="1" x14ac:dyDescent="0.2">
      <c r="B39" s="48">
        <f>ROW(B39)-TableRowShift()</f>
        <v>34</v>
      </c>
      <c r="C39" s="220" t="s">
        <v>242</v>
      </c>
      <c r="D39" s="221" t="s">
        <v>174</v>
      </c>
      <c r="E39" s="222" t="s">
        <v>341</v>
      </c>
      <c r="F39" s="223">
        <f>GetElement(GetIndex($C39,'Trigger Events'!FunctionalUser)+1,'Trigger Events'!Name)</f>
        <v>0</v>
      </c>
      <c r="G39" s="224">
        <f>GetElement(GetIndex($F39,'Trigger Events'!Name)+1,'Trigger Events'!Label)</f>
        <v>0</v>
      </c>
      <c r="H39" s="225" t="s">
        <v>141</v>
      </c>
      <c r="I39" s="224" t="str">
        <f>GetElement(GetIndex($H39,'Objects Of Interest'!Name)+1,'Objects Of Interest'!Label)</f>
        <v>Kitchen Inventory</v>
      </c>
      <c r="J39" s="226" t="s">
        <v>210</v>
      </c>
      <c r="K39" s="227" t="s">
        <v>135</v>
      </c>
      <c r="L39" s="224" t="str">
        <f>GetElement(GetIndex($K39,'Objects Of Interest'!Name)+1,'Objects Of Interest'!Label)</f>
        <v>Kitchen User</v>
      </c>
      <c r="M39" s="227" t="s">
        <v>103</v>
      </c>
      <c r="N39" s="224" t="str">
        <f>GetElement(GetIndex($M39,'Data Groups'!Name)+1,'Data Groups'!Label)</f>
        <v>Food List</v>
      </c>
      <c r="O39" s="228" t="b">
        <f t="shared" si="2"/>
        <v>1</v>
      </c>
      <c r="P39" s="229" t="b">
        <v>1</v>
      </c>
      <c r="Q39" s="127" t="b">
        <v>1</v>
      </c>
      <c r="R39" s="127" t="b">
        <v>1</v>
      </c>
      <c r="S39" s="127" t="b">
        <v>1</v>
      </c>
      <c r="T39" s="230">
        <f>CountDataMovement('How to Use'!CheckTriggers,'How to Use'!CheckDataGroups,$O39,$C39,$H39,$M39,T$4,'Trigger Events'!FunctionalProcess,$P39:$S39)</f>
        <v>0</v>
      </c>
      <c r="U39" s="230">
        <f>CountDataMovement('How to Use'!CheckTriggers,'How to Use'!CheckDataGroups,$O39,$C39,$H39,$M39,U$4,'Trigger Events'!FunctionalProcess,$P39:$S39)</f>
        <v>1</v>
      </c>
      <c r="V39" s="230">
        <f>CountDataMovement('How to Use'!CheckTriggers,'How to Use'!CheckDataGroups,$O39,$C39,$H39,$M39,V$4,'Trigger Events'!FunctionalProcess,$P39:$S39)</f>
        <v>0</v>
      </c>
      <c r="W39" s="231">
        <f>CountDataMovement('How to Use'!CheckTriggers,'How to Use'!CheckDataGroups,$O39,$C39,$H39,$M39,W$4,'Trigger Events'!FunctionalProcess,$P39:$S39)</f>
        <v>0</v>
      </c>
      <c r="X39" s="35"/>
      <c r="Z39" t="s">
        <v>212</v>
      </c>
    </row>
    <row r="40" spans="2:26" ht="12.75" customHeight="1" x14ac:dyDescent="0.2">
      <c r="B40" s="48">
        <f>ROW(B40)-TableRowShift()</f>
        <v>35</v>
      </c>
      <c r="C40" s="220" t="s">
        <v>243</v>
      </c>
      <c r="D40" s="221" t="s">
        <v>175</v>
      </c>
      <c r="E40" s="222" t="s">
        <v>362</v>
      </c>
      <c r="F40" s="223">
        <f>GetElement(GetIndex($C40,'Trigger Events'!FunctionalUser)+1,'Trigger Events'!Name)</f>
        <v>0</v>
      </c>
      <c r="G40" s="224">
        <f>GetElement(GetIndex($F40,'Trigger Events'!Name)+1,'Trigger Events'!Label)</f>
        <v>0</v>
      </c>
      <c r="H40" s="225" t="s">
        <v>141</v>
      </c>
      <c r="I40" s="224" t="str">
        <f>GetElement(GetIndex($H40,'Objects Of Interest'!Name)+1,'Objects Of Interest'!Label)</f>
        <v>Kitchen Inventory</v>
      </c>
      <c r="J40" s="226" t="s">
        <v>209</v>
      </c>
      <c r="K40" s="227" t="s">
        <v>57</v>
      </c>
      <c r="L40" s="224" t="str">
        <f>GetElement(GetIndex($K40,'Objects Of Interest'!Name)+1,'Objects Of Interest'!Label)</f>
        <v>Inventory Database</v>
      </c>
      <c r="M40" s="227" t="s">
        <v>104</v>
      </c>
      <c r="N40" s="224" t="str">
        <f>GetElement(GetIndex($M40,'Data Groups'!Name)+1,'Data Groups'!Label)</f>
        <v>Expiration</v>
      </c>
      <c r="O40" s="228" t="b">
        <f t="shared" si="2"/>
        <v>1</v>
      </c>
      <c r="P40" s="229" t="b">
        <v>1</v>
      </c>
      <c r="Q40" s="127" t="b">
        <v>1</v>
      </c>
      <c r="R40" s="127" t="b">
        <v>1</v>
      </c>
      <c r="S40" s="127" t="b">
        <v>1</v>
      </c>
      <c r="T40" s="230">
        <f>CountDataMovement('How to Use'!CheckTriggers,'How to Use'!CheckDataGroups,$O40,$C40,$H40,$M40,T$4,'Trigger Events'!FunctionalProcess,$P40:$S40)</f>
        <v>0</v>
      </c>
      <c r="U40" s="230">
        <f>CountDataMovement('How to Use'!CheckTriggers,'How to Use'!CheckDataGroups,$O40,$C40,$H40,$M40,U$4,'Trigger Events'!FunctionalProcess,$P40:$S40)</f>
        <v>0</v>
      </c>
      <c r="V40" s="230">
        <f>CountDataMovement('How to Use'!CheckTriggers,'How to Use'!CheckDataGroups,$O40,$C40,$H40,$M40,V$4,'Trigger Events'!FunctionalProcess,$P40:$S40)</f>
        <v>1</v>
      </c>
      <c r="W40" s="231">
        <f>CountDataMovement('How to Use'!CheckTriggers,'How to Use'!CheckDataGroups,$O40,$C40,$H40,$M40,W$4,'Trigger Events'!FunctionalProcess,$P40:$S40)</f>
        <v>0</v>
      </c>
      <c r="X40" s="35"/>
      <c r="Z40" t="s">
        <v>58</v>
      </c>
    </row>
    <row r="41" spans="2:26" ht="12.75" customHeight="1" x14ac:dyDescent="0.2">
      <c r="B41" s="48">
        <f>ROW(B41)-TableRowShift()</f>
        <v>36</v>
      </c>
      <c r="C41" s="220" t="s">
        <v>244</v>
      </c>
      <c r="D41" s="221" t="s">
        <v>176</v>
      </c>
      <c r="E41" s="222" t="s">
        <v>205</v>
      </c>
      <c r="F41" s="223">
        <f>GetElement(GetIndex($C41,'Trigger Events'!FunctionalUser)+1,'Trigger Events'!Name)</f>
        <v>0</v>
      </c>
      <c r="G41" s="224">
        <f>GetElement(GetIndex($F41,'Trigger Events'!Name)+1,'Trigger Events'!Label)</f>
        <v>0</v>
      </c>
      <c r="H41" s="225" t="s">
        <v>141</v>
      </c>
      <c r="I41" s="224" t="str">
        <f>GetElement(GetIndex($H41,'Objects Of Interest'!Name)+1,'Objects Of Interest'!Label)</f>
        <v>Kitchen Inventory</v>
      </c>
      <c r="J41" s="226" t="s">
        <v>209</v>
      </c>
      <c r="K41" s="227" t="s">
        <v>139</v>
      </c>
      <c r="L41" s="224" t="str">
        <f>GetElement(GetIndex($K41,'Objects Of Interest'!Name)+1,'Objects Of Interest'!Label)</f>
        <v>Food Database</v>
      </c>
      <c r="M41" s="227" t="s">
        <v>104</v>
      </c>
      <c r="N41" s="224" t="str">
        <f>GetElement(GetIndex($M41,'Data Groups'!Name)+1,'Data Groups'!Label)</f>
        <v>Expiration</v>
      </c>
      <c r="O41" s="228" t="b">
        <f t="shared" si="2"/>
        <v>1</v>
      </c>
      <c r="P41" s="229" t="b">
        <v>1</v>
      </c>
      <c r="Q41" s="127" t="b">
        <v>1</v>
      </c>
      <c r="R41" s="127" t="b">
        <v>1</v>
      </c>
      <c r="S41" s="127" t="b">
        <v>1</v>
      </c>
      <c r="T41" s="230">
        <f>CountDataMovement('How to Use'!CheckTriggers,'How to Use'!CheckDataGroups,$O41,$C41,$H41,$M41,T$4,'Trigger Events'!FunctionalProcess,$P41:$S41)</f>
        <v>0</v>
      </c>
      <c r="U41" s="230">
        <f>CountDataMovement('How to Use'!CheckTriggers,'How to Use'!CheckDataGroups,$O41,$C41,$H41,$M41,U$4,'Trigger Events'!FunctionalProcess,$P41:$S41)</f>
        <v>0</v>
      </c>
      <c r="V41" s="230">
        <f>CountDataMovement('How to Use'!CheckTriggers,'How to Use'!CheckDataGroups,$O41,$C41,$H41,$M41,V$4,'Trigger Events'!FunctionalProcess,$P41:$S41)</f>
        <v>1</v>
      </c>
      <c r="W41" s="231">
        <f>CountDataMovement('How to Use'!CheckTriggers,'How to Use'!CheckDataGroups,$O41,$C41,$H41,$M41,W$4,'Trigger Events'!FunctionalProcess,$P41:$S41)</f>
        <v>0</v>
      </c>
      <c r="X41" s="35"/>
      <c r="Z41" t="s">
        <v>226</v>
      </c>
    </row>
    <row r="42" spans="2:26" ht="12.75" customHeight="1" x14ac:dyDescent="0.2">
      <c r="B42" s="48">
        <f>ROW(B42)-TableRowShift()</f>
        <v>37</v>
      </c>
      <c r="C42" s="220" t="s">
        <v>245</v>
      </c>
      <c r="D42" s="221" t="s">
        <v>363</v>
      </c>
      <c r="E42" s="222" t="s">
        <v>364</v>
      </c>
      <c r="F42" s="223">
        <f>GetElement(GetIndex($C42,'Trigger Events'!FunctionalUser)+1,'Trigger Events'!Name)</f>
        <v>0</v>
      </c>
      <c r="G42" s="224">
        <f>GetElement(GetIndex($F42,'Trigger Events'!Name)+1,'Trigger Events'!Label)</f>
        <v>0</v>
      </c>
      <c r="H42" s="225" t="s">
        <v>141</v>
      </c>
      <c r="I42" s="224" t="str">
        <f>GetElement(GetIndex($H42,'Objects Of Interest'!Name)+1,'Objects Of Interest'!Label)</f>
        <v>Kitchen Inventory</v>
      </c>
      <c r="J42" s="226" t="s">
        <v>209</v>
      </c>
      <c r="K42" s="227" t="s">
        <v>135</v>
      </c>
      <c r="L42" s="224" t="str">
        <f>GetElement(GetIndex($K42,'Objects Of Interest'!Name)+1,'Objects Of Interest'!Label)</f>
        <v>Kitchen User</v>
      </c>
      <c r="M42" s="227" t="s">
        <v>103</v>
      </c>
      <c r="N42" s="224" t="str">
        <f>GetElement(GetIndex($M42,'Data Groups'!Name)+1,'Data Groups'!Label)</f>
        <v>Food List</v>
      </c>
      <c r="O42" s="228" t="b">
        <f t="shared" si="2"/>
        <v>1</v>
      </c>
      <c r="P42" s="229" t="b">
        <v>1</v>
      </c>
      <c r="Q42" s="127" t="b">
        <v>1</v>
      </c>
      <c r="R42" s="127" t="b">
        <v>1</v>
      </c>
      <c r="S42" s="127" t="b">
        <v>1</v>
      </c>
      <c r="T42" s="230">
        <f>CountDataMovement('How to Use'!CheckTriggers,'How to Use'!CheckDataGroups,$O42,$C42,$H42,$M42,T$4,'Trigger Events'!FunctionalProcess,$P42:$S42)</f>
        <v>1</v>
      </c>
      <c r="U42" s="230">
        <f>CountDataMovement('How to Use'!CheckTriggers,'How to Use'!CheckDataGroups,$O42,$C42,$H42,$M42,U$4,'Trigger Events'!FunctionalProcess,$P42:$S42)</f>
        <v>0</v>
      </c>
      <c r="V42" s="230">
        <f>CountDataMovement('How to Use'!CheckTriggers,'How to Use'!CheckDataGroups,$O42,$C42,$H42,$M42,V$4,'Trigger Events'!FunctionalProcess,$P42:$S42)</f>
        <v>0</v>
      </c>
      <c r="W42" s="231">
        <f>CountDataMovement('How to Use'!CheckTriggers,'How to Use'!CheckDataGroups,$O42,$C42,$H42,$M42,W$4,'Trigger Events'!FunctionalProcess,$P42:$S42)</f>
        <v>0</v>
      </c>
      <c r="X42" s="35"/>
      <c r="Z42" t="s">
        <v>228</v>
      </c>
    </row>
    <row r="43" spans="2:26" ht="12.75" customHeight="1" x14ac:dyDescent="0.2">
      <c r="B43" s="48">
        <f>ROW(B43)-TableRowShift()</f>
        <v>38</v>
      </c>
      <c r="C43" s="220" t="s">
        <v>246</v>
      </c>
      <c r="D43" s="221" t="s">
        <v>177</v>
      </c>
      <c r="E43" s="222" t="s">
        <v>365</v>
      </c>
      <c r="F43" s="223">
        <f>GetElement(GetIndex($C43,'Trigger Events'!FunctionalUser)+1,'Trigger Events'!Name)</f>
        <v>0</v>
      </c>
      <c r="G43" s="224">
        <f>GetElement(GetIndex($F43,'Trigger Events'!Name)+1,'Trigger Events'!Label)</f>
        <v>0</v>
      </c>
      <c r="H43" s="225" t="s">
        <v>141</v>
      </c>
      <c r="I43" s="224" t="str">
        <f>GetElement(GetIndex($H43,'Objects Of Interest'!Name)+1,'Objects Of Interest'!Label)</f>
        <v>Kitchen Inventory</v>
      </c>
      <c r="J43" s="226" t="s">
        <v>210</v>
      </c>
      <c r="K43" s="227" t="s">
        <v>57</v>
      </c>
      <c r="L43" s="224" t="str">
        <f>GetElement(GetIndex($K43,'Objects Of Interest'!Name)+1,'Objects Of Interest'!Label)</f>
        <v>Inventory Database</v>
      </c>
      <c r="M43" s="227" t="s">
        <v>103</v>
      </c>
      <c r="N43" s="224" t="str">
        <f>GetElement(GetIndex($M43,'Data Groups'!Name)+1,'Data Groups'!Label)</f>
        <v>Food List</v>
      </c>
      <c r="O43" s="228" t="b">
        <f t="shared" si="2"/>
        <v>1</v>
      </c>
      <c r="P43" s="229" t="b">
        <v>1</v>
      </c>
      <c r="Q43" s="127" t="b">
        <v>1</v>
      </c>
      <c r="R43" s="127" t="b">
        <v>1</v>
      </c>
      <c r="S43" s="127" t="b">
        <v>1</v>
      </c>
      <c r="T43" s="230">
        <f>CountDataMovement('How to Use'!CheckTriggers,'How to Use'!CheckDataGroups,$O43,$C43,$H43,$M43,T$4,'Trigger Events'!FunctionalProcess,$P43:$S43)</f>
        <v>0</v>
      </c>
      <c r="U43" s="230">
        <f>CountDataMovement('How to Use'!CheckTriggers,'How to Use'!CheckDataGroups,$O43,$C43,$H43,$M43,U$4,'Trigger Events'!FunctionalProcess,$P43:$S43)</f>
        <v>0</v>
      </c>
      <c r="V43" s="230">
        <f>CountDataMovement('How to Use'!CheckTriggers,'How to Use'!CheckDataGroups,$O43,$C43,$H43,$M43,V$4,'Trigger Events'!FunctionalProcess,$P43:$S43)</f>
        <v>0</v>
      </c>
      <c r="W43" s="231">
        <f>CountDataMovement('How to Use'!CheckTriggers,'How to Use'!CheckDataGroups,$O43,$C43,$H43,$M43,W$4,'Trigger Events'!FunctionalProcess,$P43:$S43)</f>
        <v>1</v>
      </c>
      <c r="X43" s="35"/>
      <c r="Z43" t="s">
        <v>231</v>
      </c>
    </row>
    <row r="44" spans="2:26" ht="12.75" customHeight="1" x14ac:dyDescent="0.2">
      <c r="B44" s="48">
        <f>ROW(B44)-TableRowShift()</f>
        <v>39</v>
      </c>
      <c r="C44" s="220" t="s">
        <v>247</v>
      </c>
      <c r="D44" s="221" t="s">
        <v>178</v>
      </c>
      <c r="E44" s="222" t="s">
        <v>206</v>
      </c>
      <c r="F44" s="223" t="str">
        <f>GetElement(GetIndex($C44,'Trigger Events'!FunctionalUser)+1,'Trigger Events'!Name)</f>
        <v>T06</v>
      </c>
      <c r="G44" s="224" t="str">
        <f>GetElement(GetIndex($F44,'Trigger Events'!Name)+1,'Trigger Events'!Label)</f>
        <v>Cook</v>
      </c>
      <c r="H44" s="225" t="s">
        <v>142</v>
      </c>
      <c r="I44" s="224" t="str">
        <f>GetElement(GetIndex($H44,'Objects Of Interest'!Name)+1,'Objects Of Interest'!Label)</f>
        <v>Execute Recipe</v>
      </c>
      <c r="J44" s="226" t="s">
        <v>209</v>
      </c>
      <c r="K44" s="227" t="s">
        <v>135</v>
      </c>
      <c r="L44" s="224" t="str">
        <f>GetElement(GetIndex($K44,'Objects Of Interest'!Name)+1,'Objects Of Interest'!Label)</f>
        <v>Kitchen User</v>
      </c>
      <c r="M44" s="227" t="s">
        <v>34</v>
      </c>
      <c r="N44" s="224" t="str">
        <f>GetElement(GetIndex($M44,'Data Groups'!Name)+1,'Data Groups'!Label)</f>
        <v>Recipe</v>
      </c>
      <c r="O44" s="228" t="b">
        <f t="shared" si="2"/>
        <v>1</v>
      </c>
      <c r="P44" s="229" t="b">
        <v>1</v>
      </c>
      <c r="Q44" s="127" t="b">
        <v>1</v>
      </c>
      <c r="R44" s="127" t="b">
        <v>1</v>
      </c>
      <c r="S44" s="127" t="b">
        <v>1</v>
      </c>
      <c r="T44" s="230">
        <f>CountDataMovement('How to Use'!CheckTriggers,'How to Use'!CheckDataGroups,$O44,$C44,$H44,$M44,T$4,'Trigger Events'!FunctionalProcess,$P44:$S44)</f>
        <v>1</v>
      </c>
      <c r="U44" s="230">
        <f>CountDataMovement('How to Use'!CheckTriggers,'How to Use'!CheckDataGroups,$O44,$C44,$H44,$M44,U$4,'Trigger Events'!FunctionalProcess,$P44:$S44)</f>
        <v>0</v>
      </c>
      <c r="V44" s="230">
        <f>CountDataMovement('How to Use'!CheckTriggers,'How to Use'!CheckDataGroups,$O44,$C44,$H44,$M44,V$4,'Trigger Events'!FunctionalProcess,$P44:$S44)</f>
        <v>0</v>
      </c>
      <c r="W44" s="231">
        <f>CountDataMovement('How to Use'!CheckTriggers,'How to Use'!CheckDataGroups,$O44,$C44,$H44,$M44,W$4,'Trigger Events'!FunctionalProcess,$P44:$S44)</f>
        <v>0</v>
      </c>
      <c r="X44" s="35"/>
      <c r="Z44" t="s">
        <v>240</v>
      </c>
    </row>
    <row r="45" spans="2:26" ht="12.75" customHeight="1" x14ac:dyDescent="0.2">
      <c r="B45" s="48">
        <f>ROW(B45)-TableRowShift()</f>
        <v>40</v>
      </c>
      <c r="C45" s="220" t="s">
        <v>248</v>
      </c>
      <c r="D45" s="221" t="s">
        <v>179</v>
      </c>
      <c r="E45" s="222" t="s">
        <v>368</v>
      </c>
      <c r="F45" s="223">
        <f>GetElement(GetIndex($C45,'Trigger Events'!FunctionalUser)+1,'Trigger Events'!Name)</f>
        <v>0</v>
      </c>
      <c r="G45" s="224">
        <f>GetElement(GetIndex($F45,'Trigger Events'!Name)+1,'Trigger Events'!Label)</f>
        <v>0</v>
      </c>
      <c r="H45" s="225" t="s">
        <v>142</v>
      </c>
      <c r="I45" s="224" t="str">
        <f>GetElement(GetIndex($H45,'Objects Of Interest'!Name)+1,'Objects Of Interest'!Label)</f>
        <v>Execute Recipe</v>
      </c>
      <c r="J45" s="226" t="s">
        <v>209</v>
      </c>
      <c r="K45" s="227" t="s">
        <v>136</v>
      </c>
      <c r="L45" s="224" t="str">
        <f>GetElement(GetIndex($K45,'Objects Of Interest'!Name)+1,'Objects Of Interest'!Label)</f>
        <v>Recipe Database</v>
      </c>
      <c r="M45" s="227" t="s">
        <v>34</v>
      </c>
      <c r="N45" s="224" t="str">
        <f>GetElement(GetIndex($M45,'Data Groups'!Name)+1,'Data Groups'!Label)</f>
        <v>Recipe</v>
      </c>
      <c r="O45" s="228" t="b">
        <f t="shared" si="2"/>
        <v>1</v>
      </c>
      <c r="P45" s="229" t="b">
        <v>1</v>
      </c>
      <c r="Q45" s="127" t="b">
        <v>1</v>
      </c>
      <c r="R45" s="127" t="b">
        <v>1</v>
      </c>
      <c r="S45" s="127" t="b">
        <v>1</v>
      </c>
      <c r="T45" s="230">
        <f>CountDataMovement('How to Use'!CheckTriggers,'How to Use'!CheckDataGroups,$O45,$C45,$H45,$M45,T$4,'Trigger Events'!FunctionalProcess,$P45:$S45)</f>
        <v>0</v>
      </c>
      <c r="U45" s="230">
        <f>CountDataMovement('How to Use'!CheckTriggers,'How to Use'!CheckDataGroups,$O45,$C45,$H45,$M45,U$4,'Trigger Events'!FunctionalProcess,$P45:$S45)</f>
        <v>0</v>
      </c>
      <c r="V45" s="230">
        <f>CountDataMovement('How to Use'!CheckTriggers,'How to Use'!CheckDataGroups,$O45,$C45,$H45,$M45,V$4,'Trigger Events'!FunctionalProcess,$P45:$S45)</f>
        <v>1</v>
      </c>
      <c r="W45" s="231">
        <f>CountDataMovement('How to Use'!CheckTriggers,'How to Use'!CheckDataGroups,$O45,$C45,$H45,$M45,W$4,'Trigger Events'!FunctionalProcess,$P45:$S45)</f>
        <v>0</v>
      </c>
      <c r="X45" s="35"/>
      <c r="Z45" t="s">
        <v>246</v>
      </c>
    </row>
    <row r="46" spans="2:26" ht="12.75" customHeight="1" x14ac:dyDescent="0.2">
      <c r="B46" s="48">
        <f>ROW(B46)-TableRowShift()</f>
        <v>41</v>
      </c>
      <c r="C46" s="220" t="s">
        <v>249</v>
      </c>
      <c r="D46" s="221" t="s">
        <v>180</v>
      </c>
      <c r="E46" s="222" t="s">
        <v>342</v>
      </c>
      <c r="F46" s="223">
        <f>GetElement(GetIndex($C46,'Trigger Events'!FunctionalUser)+1,'Trigger Events'!Name)</f>
        <v>0</v>
      </c>
      <c r="G46" s="224">
        <f>GetElement(GetIndex($F46,'Trigger Events'!Name)+1,'Trigger Events'!Label)</f>
        <v>0</v>
      </c>
      <c r="H46" s="225" t="s">
        <v>142</v>
      </c>
      <c r="I46" s="224" t="str">
        <f>GetElement(GetIndex($H46,'Objects Of Interest'!Name)+1,'Objects Of Interest'!Label)</f>
        <v>Execute Recipe</v>
      </c>
      <c r="J46" s="226" t="s">
        <v>209</v>
      </c>
      <c r="K46" s="227" t="s">
        <v>139</v>
      </c>
      <c r="L46" s="224" t="str">
        <f>GetElement(GetIndex($K46,'Objects Of Interest'!Name)+1,'Objects Of Interest'!Label)</f>
        <v>Food Database</v>
      </c>
      <c r="M46" s="227" t="s">
        <v>101</v>
      </c>
      <c r="N46" s="224" t="str">
        <f>GetElement(GetIndex($M46,'Data Groups'!Name)+1,'Data Groups'!Label)</f>
        <v>Food Attributes</v>
      </c>
      <c r="O46" s="228" t="b">
        <f t="shared" si="2"/>
        <v>1</v>
      </c>
      <c r="P46" s="229" t="b">
        <v>1</v>
      </c>
      <c r="Q46" s="127" t="b">
        <v>1</v>
      </c>
      <c r="R46" s="127" t="b">
        <v>1</v>
      </c>
      <c r="S46" s="127" t="b">
        <v>1</v>
      </c>
      <c r="T46" s="230">
        <f>CountDataMovement('How to Use'!CheckTriggers,'How to Use'!CheckDataGroups,$O46,$C46,$H46,$M46,T$4,'Trigger Events'!FunctionalProcess,$P46:$S46)</f>
        <v>0</v>
      </c>
      <c r="U46" s="230">
        <f>CountDataMovement('How to Use'!CheckTriggers,'How to Use'!CheckDataGroups,$O46,$C46,$H46,$M46,U$4,'Trigger Events'!FunctionalProcess,$P46:$S46)</f>
        <v>0</v>
      </c>
      <c r="V46" s="230">
        <f>CountDataMovement('How to Use'!CheckTriggers,'How to Use'!CheckDataGroups,$O46,$C46,$H46,$M46,V$4,'Trigger Events'!FunctionalProcess,$P46:$S46)</f>
        <v>1</v>
      </c>
      <c r="W46" s="231">
        <f>CountDataMovement('How to Use'!CheckTriggers,'How to Use'!CheckDataGroups,$O46,$C46,$H46,$M46,W$4,'Trigger Events'!FunctionalProcess,$P46:$S46)</f>
        <v>0</v>
      </c>
      <c r="X46" s="35"/>
      <c r="Z46" t="s">
        <v>253</v>
      </c>
    </row>
    <row r="47" spans="2:26" ht="12.75" customHeight="1" x14ac:dyDescent="0.2">
      <c r="B47" s="48">
        <f>ROW(B47)-TableRowShift()</f>
        <v>42</v>
      </c>
      <c r="C47" s="220" t="s">
        <v>250</v>
      </c>
      <c r="D47" s="221" t="s">
        <v>181</v>
      </c>
      <c r="E47" s="222" t="s">
        <v>369</v>
      </c>
      <c r="F47" s="223">
        <f>GetElement(GetIndex($C47,'Trigger Events'!FunctionalUser)+1,'Trigger Events'!Name)</f>
        <v>0</v>
      </c>
      <c r="G47" s="224">
        <f>GetElement(GetIndex($F47,'Trigger Events'!Name)+1,'Trigger Events'!Label)</f>
        <v>0</v>
      </c>
      <c r="H47" s="225" t="s">
        <v>142</v>
      </c>
      <c r="I47" s="224" t="str">
        <f>GetElement(GetIndex($H47,'Objects Of Interest'!Name)+1,'Objects Of Interest'!Label)</f>
        <v>Execute Recipe</v>
      </c>
      <c r="J47" s="226" t="s">
        <v>209</v>
      </c>
      <c r="K47" s="227" t="s">
        <v>57</v>
      </c>
      <c r="L47" s="224" t="str">
        <f>GetElement(GetIndex($K47,'Objects Of Interest'!Name)+1,'Objects Of Interest'!Label)</f>
        <v>Inventory Database</v>
      </c>
      <c r="M47" s="227" t="s">
        <v>103</v>
      </c>
      <c r="N47" s="224" t="str">
        <f>GetElement(GetIndex($M47,'Data Groups'!Name)+1,'Data Groups'!Label)</f>
        <v>Food List</v>
      </c>
      <c r="O47" s="228" t="b">
        <f t="shared" si="2"/>
        <v>1</v>
      </c>
      <c r="P47" s="229" t="b">
        <v>1</v>
      </c>
      <c r="Q47" s="127" t="b">
        <v>1</v>
      </c>
      <c r="R47" s="127" t="b">
        <v>1</v>
      </c>
      <c r="S47" s="127" t="b">
        <v>1</v>
      </c>
      <c r="T47" s="230">
        <f>CountDataMovement('How to Use'!CheckTriggers,'How to Use'!CheckDataGroups,$O47,$C47,$H47,$M47,T$4,'Trigger Events'!FunctionalProcess,$P47:$S47)</f>
        <v>0</v>
      </c>
      <c r="U47" s="230">
        <f>CountDataMovement('How to Use'!CheckTriggers,'How to Use'!CheckDataGroups,$O47,$C47,$H47,$M47,U$4,'Trigger Events'!FunctionalProcess,$P47:$S47)</f>
        <v>0</v>
      </c>
      <c r="V47" s="230">
        <f>CountDataMovement('How to Use'!CheckTriggers,'How to Use'!CheckDataGroups,$O47,$C47,$H47,$M47,V$4,'Trigger Events'!FunctionalProcess,$P47:$S47)</f>
        <v>1</v>
      </c>
      <c r="W47" s="231">
        <f>CountDataMovement('How to Use'!CheckTriggers,'How to Use'!CheckDataGroups,$O47,$C47,$H47,$M47,W$4,'Trigger Events'!FunctionalProcess,$P47:$S47)</f>
        <v>0</v>
      </c>
      <c r="X47" s="35"/>
      <c r="Z47" t="s">
        <v>265</v>
      </c>
    </row>
    <row r="48" spans="2:26" ht="12.75" customHeight="1" x14ac:dyDescent="0.2">
      <c r="B48" s="48">
        <f>ROW(B48)-TableRowShift()</f>
        <v>43</v>
      </c>
      <c r="C48" s="220" t="s">
        <v>251</v>
      </c>
      <c r="D48" s="221" t="s">
        <v>182</v>
      </c>
      <c r="E48" s="222" t="s">
        <v>370</v>
      </c>
      <c r="F48" s="223">
        <f>GetElement(GetIndex($C48,'Trigger Events'!FunctionalUser)+1,'Trigger Events'!Name)</f>
        <v>0</v>
      </c>
      <c r="G48" s="224">
        <f>GetElement(GetIndex($F48,'Trigger Events'!Name)+1,'Trigger Events'!Label)</f>
        <v>0</v>
      </c>
      <c r="H48" s="225" t="s">
        <v>142</v>
      </c>
      <c r="I48" s="224" t="str">
        <f>GetElement(GetIndex($H48,'Objects Of Interest'!Name)+1,'Objects Of Interest'!Label)</f>
        <v>Execute Recipe</v>
      </c>
      <c r="J48" s="226" t="s">
        <v>210</v>
      </c>
      <c r="K48" s="227" t="s">
        <v>135</v>
      </c>
      <c r="L48" s="224" t="str">
        <f>GetElement(GetIndex($K48,'Objects Of Interest'!Name)+1,'Objects Of Interest'!Label)</f>
        <v>Kitchen User</v>
      </c>
      <c r="M48" s="227" t="s">
        <v>105</v>
      </c>
      <c r="N48" s="224" t="str">
        <f>GetElement(GetIndex($M48,'Data Groups'!Name)+1,'Data Groups'!Label)</f>
        <v>Cooking Process</v>
      </c>
      <c r="O48" s="228" t="b">
        <f t="shared" si="2"/>
        <v>1</v>
      </c>
      <c r="P48" s="229" t="b">
        <v>1</v>
      </c>
      <c r="Q48" s="127" t="b">
        <v>1</v>
      </c>
      <c r="R48" s="127" t="b">
        <v>1</v>
      </c>
      <c r="S48" s="127" t="b">
        <v>1</v>
      </c>
      <c r="T48" s="230">
        <f>CountDataMovement('How to Use'!CheckTriggers,'How to Use'!CheckDataGroups,$O48,$C48,$H48,$M48,T$4,'Trigger Events'!FunctionalProcess,$P48:$S48)</f>
        <v>0</v>
      </c>
      <c r="U48" s="230">
        <f>CountDataMovement('How to Use'!CheckTriggers,'How to Use'!CheckDataGroups,$O48,$C48,$H48,$M48,U$4,'Trigger Events'!FunctionalProcess,$P48:$S48)</f>
        <v>1</v>
      </c>
      <c r="V48" s="230">
        <f>CountDataMovement('How to Use'!CheckTriggers,'How to Use'!CheckDataGroups,$O48,$C48,$H48,$M48,V$4,'Trigger Events'!FunctionalProcess,$P48:$S48)</f>
        <v>0</v>
      </c>
      <c r="W48" s="231">
        <f>CountDataMovement('How to Use'!CheckTriggers,'How to Use'!CheckDataGroups,$O48,$C48,$H48,$M48,W$4,'Trigger Events'!FunctionalProcess,$P48:$S48)</f>
        <v>0</v>
      </c>
      <c r="X48" s="35"/>
      <c r="Z48" t="s">
        <v>216</v>
      </c>
    </row>
    <row r="49" spans="2:26" ht="12.75" customHeight="1" x14ac:dyDescent="0.2">
      <c r="B49" s="48">
        <f>ROW(B49)-TableRowShift()</f>
        <v>44</v>
      </c>
      <c r="C49" s="220" t="s">
        <v>252</v>
      </c>
      <c r="D49" s="221" t="s">
        <v>183</v>
      </c>
      <c r="E49" s="222" t="s">
        <v>371</v>
      </c>
      <c r="F49" s="223" t="str">
        <f>GetElement(GetIndex($C49,'Trigger Events'!FunctionalUser)+1,'Trigger Events'!Name)</f>
        <v>T08</v>
      </c>
      <c r="G49" s="224" t="str">
        <f>GetElement(GetIndex($F49,'Trigger Events'!Name)+1,'Trigger Events'!Label)</f>
        <v>Control</v>
      </c>
      <c r="H49" s="225" t="s">
        <v>142</v>
      </c>
      <c r="I49" s="224" t="str">
        <f>GetElement(GetIndex($H49,'Objects Of Interest'!Name)+1,'Objects Of Interest'!Label)</f>
        <v>Execute Recipe</v>
      </c>
      <c r="J49" s="226" t="s">
        <v>209</v>
      </c>
      <c r="K49" s="227" t="s">
        <v>135</v>
      </c>
      <c r="L49" s="224" t="str">
        <f>GetElement(GetIndex($K49,'Objects Of Interest'!Name)+1,'Objects Of Interest'!Label)</f>
        <v>Kitchen User</v>
      </c>
      <c r="M49" s="227" t="s">
        <v>101</v>
      </c>
      <c r="N49" s="224" t="str">
        <f>GetElement(GetIndex($M49,'Data Groups'!Name)+1,'Data Groups'!Label)</f>
        <v>Food Attributes</v>
      </c>
      <c r="O49" s="228" t="b">
        <f t="shared" si="2"/>
        <v>1</v>
      </c>
      <c r="P49" s="229" t="b">
        <v>1</v>
      </c>
      <c r="Q49" s="127" t="b">
        <v>1</v>
      </c>
      <c r="R49" s="127" t="b">
        <v>1</v>
      </c>
      <c r="S49" s="127" t="b">
        <v>1</v>
      </c>
      <c r="T49" s="230">
        <f>CountDataMovement('How to Use'!CheckTriggers,'How to Use'!CheckDataGroups,$O49,$C49,$H49,$M49,T$4,'Trigger Events'!FunctionalProcess,$P49:$S49)</f>
        <v>1</v>
      </c>
      <c r="U49" s="230">
        <f>CountDataMovement('How to Use'!CheckTriggers,'How to Use'!CheckDataGroups,$O49,$C49,$H49,$M49,U$4,'Trigger Events'!FunctionalProcess,$P49:$S49)</f>
        <v>0</v>
      </c>
      <c r="V49" s="230">
        <f>CountDataMovement('How to Use'!CheckTriggers,'How to Use'!CheckDataGroups,$O49,$C49,$H49,$M49,V$4,'Trigger Events'!FunctionalProcess,$P49:$S49)</f>
        <v>0</v>
      </c>
      <c r="W49" s="231">
        <f>CountDataMovement('How to Use'!CheckTriggers,'How to Use'!CheckDataGroups,$O49,$C49,$H49,$M49,W$4,'Trigger Events'!FunctionalProcess,$P49:$S49)</f>
        <v>0</v>
      </c>
      <c r="X49" s="35"/>
      <c r="Z49" t="s">
        <v>217</v>
      </c>
    </row>
    <row r="50" spans="2:26" ht="12.75" customHeight="1" x14ac:dyDescent="0.2">
      <c r="B50" s="48">
        <f>ROW(B50)-TableRowShift()</f>
        <v>45</v>
      </c>
      <c r="C50" s="220" t="s">
        <v>253</v>
      </c>
      <c r="D50" s="221" t="s">
        <v>184</v>
      </c>
      <c r="E50" s="222" t="s">
        <v>372</v>
      </c>
      <c r="F50" s="223">
        <f>GetElement(GetIndex($C50,'Trigger Events'!FunctionalUser)+1,'Trigger Events'!Name)</f>
        <v>0</v>
      </c>
      <c r="G50" s="224">
        <f>GetElement(GetIndex($F50,'Trigger Events'!Name)+1,'Trigger Events'!Label)</f>
        <v>0</v>
      </c>
      <c r="H50" s="225" t="s">
        <v>142</v>
      </c>
      <c r="I50" s="224" t="str">
        <f>GetElement(GetIndex($H50,'Objects Of Interest'!Name)+1,'Objects Of Interest'!Label)</f>
        <v>Execute Recipe</v>
      </c>
      <c r="J50" s="226" t="s">
        <v>210</v>
      </c>
      <c r="K50" s="227" t="s">
        <v>57</v>
      </c>
      <c r="L50" s="224" t="str">
        <f>GetElement(GetIndex($K50,'Objects Of Interest'!Name)+1,'Objects Of Interest'!Label)</f>
        <v>Inventory Database</v>
      </c>
      <c r="M50" s="227" t="s">
        <v>103</v>
      </c>
      <c r="N50" s="224" t="str">
        <f>GetElement(GetIndex($M50,'Data Groups'!Name)+1,'Data Groups'!Label)</f>
        <v>Food List</v>
      </c>
      <c r="O50" s="228" t="b">
        <f t="shared" si="2"/>
        <v>1</v>
      </c>
      <c r="P50" s="229" t="b">
        <v>1</v>
      </c>
      <c r="Q50" s="127" t="b">
        <v>1</v>
      </c>
      <c r="R50" s="127" t="b">
        <v>1</v>
      </c>
      <c r="S50" s="127" t="b">
        <v>1</v>
      </c>
      <c r="T50" s="230">
        <f>CountDataMovement('How to Use'!CheckTriggers,'How to Use'!CheckDataGroups,$O50,$C50,$H50,$M50,T$4,'Trigger Events'!FunctionalProcess,$P50:$S50)</f>
        <v>0</v>
      </c>
      <c r="U50" s="230">
        <f>CountDataMovement('How to Use'!CheckTriggers,'How to Use'!CheckDataGroups,$O50,$C50,$H50,$M50,U$4,'Trigger Events'!FunctionalProcess,$P50:$S50)</f>
        <v>0</v>
      </c>
      <c r="V50" s="230">
        <f>CountDataMovement('How to Use'!CheckTriggers,'How to Use'!CheckDataGroups,$O50,$C50,$H50,$M50,V$4,'Trigger Events'!FunctionalProcess,$P50:$S50)</f>
        <v>0</v>
      </c>
      <c r="W50" s="231">
        <f>CountDataMovement('How to Use'!CheckTriggers,'How to Use'!CheckDataGroups,$O50,$C50,$H50,$M50,W$4,'Trigger Events'!FunctionalProcess,$P50:$S50)</f>
        <v>1</v>
      </c>
      <c r="X50" s="35"/>
      <c r="Z50" t="s">
        <v>219</v>
      </c>
    </row>
    <row r="51" spans="2:26" ht="12.75" customHeight="1" x14ac:dyDescent="0.2">
      <c r="B51" s="48">
        <f>ROW(B51)-TableRowShift()</f>
        <v>46</v>
      </c>
      <c r="C51" s="220" t="s">
        <v>254</v>
      </c>
      <c r="D51" s="221" t="s">
        <v>185</v>
      </c>
      <c r="E51" s="222" t="s">
        <v>343</v>
      </c>
      <c r="F51" s="223">
        <f>GetElement(GetIndex($C51,'Trigger Events'!FunctionalUser)+1,'Trigger Events'!Name)</f>
        <v>0</v>
      </c>
      <c r="G51" s="224">
        <f>GetElement(GetIndex($F51,'Trigger Events'!Name)+1,'Trigger Events'!Label)</f>
        <v>0</v>
      </c>
      <c r="H51" s="225" t="s">
        <v>142</v>
      </c>
      <c r="I51" s="224" t="str">
        <f>GetElement(GetIndex($H51,'Objects Of Interest'!Name)+1,'Objects Of Interest'!Label)</f>
        <v>Execute Recipe</v>
      </c>
      <c r="J51" s="226" t="s">
        <v>210</v>
      </c>
      <c r="K51" s="227" t="s">
        <v>143</v>
      </c>
      <c r="L51" s="224" t="str">
        <f>GetElement(GetIndex($K51,'Objects Of Interest'!Name)+1,'Objects Of Interest'!Label)</f>
        <v>Kitchen Controls</v>
      </c>
      <c r="M51" s="227" t="s">
        <v>105</v>
      </c>
      <c r="N51" s="224" t="str">
        <f>GetElement(GetIndex($M51,'Data Groups'!Name)+1,'Data Groups'!Label)</f>
        <v>Cooking Process</v>
      </c>
      <c r="O51" s="228" t="b">
        <f t="shared" si="2"/>
        <v>1</v>
      </c>
      <c r="P51" s="229" t="b">
        <v>1</v>
      </c>
      <c r="Q51" s="127" t="b">
        <v>1</v>
      </c>
      <c r="R51" s="127" t="b">
        <v>1</v>
      </c>
      <c r="S51" s="127" t="b">
        <v>1</v>
      </c>
      <c r="T51" s="230">
        <f>CountDataMovement('How to Use'!CheckTriggers,'How to Use'!CheckDataGroups,$O51,$C51,$H51,$M51,T$4,'Trigger Events'!FunctionalProcess,$P51:$S51)</f>
        <v>0</v>
      </c>
      <c r="U51" s="230">
        <f>CountDataMovement('How to Use'!CheckTriggers,'How to Use'!CheckDataGroups,$O51,$C51,$H51,$M51,U$4,'Trigger Events'!FunctionalProcess,$P51:$S51)</f>
        <v>1</v>
      </c>
      <c r="V51" s="230">
        <f>CountDataMovement('How to Use'!CheckTriggers,'How to Use'!CheckDataGroups,$O51,$C51,$H51,$M51,V$4,'Trigger Events'!FunctionalProcess,$P51:$S51)</f>
        <v>0</v>
      </c>
      <c r="W51" s="231">
        <f>CountDataMovement('How to Use'!CheckTriggers,'How to Use'!CheckDataGroups,$O51,$C51,$H51,$M51,W$4,'Trigger Events'!FunctionalProcess,$P51:$S51)</f>
        <v>0</v>
      </c>
      <c r="X51" s="35"/>
      <c r="Z51" t="s">
        <v>221</v>
      </c>
    </row>
    <row r="52" spans="2:26" ht="12.75" customHeight="1" x14ac:dyDescent="0.2">
      <c r="B52" s="48">
        <f>ROW(B52)-TableRowShift()</f>
        <v>47</v>
      </c>
      <c r="C52" s="220" t="s">
        <v>255</v>
      </c>
      <c r="D52" s="221" t="s">
        <v>186</v>
      </c>
      <c r="E52" s="222" t="s">
        <v>344</v>
      </c>
      <c r="F52" s="223">
        <f>GetElement(GetIndex($C52,'Trigger Events'!FunctionalUser)+1,'Trigger Events'!Name)</f>
        <v>0</v>
      </c>
      <c r="G52" s="224">
        <f>GetElement(GetIndex($F52,'Trigger Events'!Name)+1,'Trigger Events'!Label)</f>
        <v>0</v>
      </c>
      <c r="H52" s="225" t="s">
        <v>142</v>
      </c>
      <c r="I52" s="224" t="str">
        <f>GetElement(GetIndex($H52,'Objects Of Interest'!Name)+1,'Objects Of Interest'!Label)</f>
        <v>Execute Recipe</v>
      </c>
      <c r="J52" s="226" t="s">
        <v>209</v>
      </c>
      <c r="K52" s="227" t="s">
        <v>143</v>
      </c>
      <c r="L52" s="224" t="str">
        <f>GetElement(GetIndex($K52,'Objects Of Interest'!Name)+1,'Objects Of Interest'!Label)</f>
        <v>Kitchen Controls</v>
      </c>
      <c r="M52" s="227" t="s">
        <v>105</v>
      </c>
      <c r="N52" s="224" t="str">
        <f>GetElement(GetIndex($M52,'Data Groups'!Name)+1,'Data Groups'!Label)</f>
        <v>Cooking Process</v>
      </c>
      <c r="O52" s="228" t="b">
        <f t="shared" si="2"/>
        <v>1</v>
      </c>
      <c r="P52" s="229" t="b">
        <v>1</v>
      </c>
      <c r="Q52" s="127" t="b">
        <v>1</v>
      </c>
      <c r="R52" s="127" t="b">
        <v>1</v>
      </c>
      <c r="S52" s="127" t="b">
        <v>1</v>
      </c>
      <c r="T52" s="230">
        <f>CountDataMovement('How to Use'!CheckTriggers,'How to Use'!CheckDataGroups,$O52,$C52,$H52,$M52,T$4,'Trigger Events'!FunctionalProcess,$P52:$S52)</f>
        <v>1</v>
      </c>
      <c r="U52" s="230">
        <f>CountDataMovement('How to Use'!CheckTriggers,'How to Use'!CheckDataGroups,$O52,$C52,$H52,$M52,U$4,'Trigger Events'!FunctionalProcess,$P52:$S52)</f>
        <v>0</v>
      </c>
      <c r="V52" s="230">
        <f>CountDataMovement('How to Use'!CheckTriggers,'How to Use'!CheckDataGroups,$O52,$C52,$H52,$M52,V$4,'Trigger Events'!FunctionalProcess,$P52:$S52)</f>
        <v>0</v>
      </c>
      <c r="W52" s="231">
        <f>CountDataMovement('How to Use'!CheckTriggers,'How to Use'!CheckDataGroups,$O52,$C52,$H52,$M52,W$4,'Trigger Events'!FunctionalProcess,$P52:$S52)</f>
        <v>0</v>
      </c>
      <c r="X52" s="35"/>
      <c r="Z52" t="s">
        <v>224</v>
      </c>
    </row>
    <row r="53" spans="2:26" ht="12.75" customHeight="1" x14ac:dyDescent="0.2">
      <c r="B53" s="48">
        <f>ROW(B53)-TableRowShift()</f>
        <v>48</v>
      </c>
      <c r="C53" s="220" t="s">
        <v>256</v>
      </c>
      <c r="D53" s="221" t="s">
        <v>187</v>
      </c>
      <c r="E53" s="222" t="s">
        <v>347</v>
      </c>
      <c r="F53" s="223">
        <f>GetElement(GetIndex($C53,'Trigger Events'!FunctionalUser)+1,'Trigger Events'!Name)</f>
        <v>0</v>
      </c>
      <c r="G53" s="224">
        <f>GetElement(GetIndex($F53,'Trigger Events'!Name)+1,'Trigger Events'!Label)</f>
        <v>0</v>
      </c>
      <c r="H53" s="225" t="s">
        <v>142</v>
      </c>
      <c r="I53" s="224" t="str">
        <f>GetElement(GetIndex($H53,'Objects Of Interest'!Name)+1,'Objects Of Interest'!Label)</f>
        <v>Execute Recipe</v>
      </c>
      <c r="J53" s="226" t="s">
        <v>210</v>
      </c>
      <c r="K53" s="227" t="s">
        <v>144</v>
      </c>
      <c r="L53" s="224" t="str">
        <f>GetElement(GetIndex($K53,'Objects Of Interest'!Name)+1,'Objects Of Interest'!Label)</f>
        <v>Boiling Plates</v>
      </c>
      <c r="M53" s="227" t="s">
        <v>106</v>
      </c>
      <c r="N53" s="224" t="str">
        <f>GetElement(GetIndex($M53,'Data Groups'!Name)+1,'Data Groups'!Label)</f>
        <v>Boiling Data</v>
      </c>
      <c r="O53" s="228" t="b">
        <f t="shared" si="2"/>
        <v>1</v>
      </c>
      <c r="P53" s="229" t="b">
        <v>1</v>
      </c>
      <c r="Q53" s="127" t="b">
        <v>1</v>
      </c>
      <c r="R53" s="127" t="b">
        <v>1</v>
      </c>
      <c r="S53" s="127" t="b">
        <v>1</v>
      </c>
      <c r="T53" s="230">
        <f>CountDataMovement('How to Use'!CheckTriggers,'How to Use'!CheckDataGroups,$O53,$C53,$H53,$M53,T$4,'Trigger Events'!FunctionalProcess,$P53:$S53)</f>
        <v>0</v>
      </c>
      <c r="U53" s="230">
        <f>CountDataMovement('How to Use'!CheckTriggers,'How to Use'!CheckDataGroups,$O53,$C53,$H53,$M53,U$4,'Trigger Events'!FunctionalProcess,$P53:$S53)</f>
        <v>1</v>
      </c>
      <c r="V53" s="230">
        <f>CountDataMovement('How to Use'!CheckTriggers,'How to Use'!CheckDataGroups,$O53,$C53,$H53,$M53,V$4,'Trigger Events'!FunctionalProcess,$P53:$S53)</f>
        <v>0</v>
      </c>
      <c r="W53" s="231">
        <f>CountDataMovement('How to Use'!CheckTriggers,'How to Use'!CheckDataGroups,$O53,$C53,$H53,$M53,W$4,'Trigger Events'!FunctionalProcess,$P53:$S53)</f>
        <v>0</v>
      </c>
      <c r="X53" s="35"/>
      <c r="Z53" t="s">
        <v>229</v>
      </c>
    </row>
    <row r="54" spans="2:26" ht="12.75" customHeight="1" x14ac:dyDescent="0.2">
      <c r="B54" s="48">
        <f>ROW(B54)-TableRowShift()</f>
        <v>49</v>
      </c>
      <c r="C54" s="220" t="s">
        <v>257</v>
      </c>
      <c r="D54" s="221" t="s">
        <v>188</v>
      </c>
      <c r="E54" s="222" t="s">
        <v>345</v>
      </c>
      <c r="F54" s="223">
        <f>GetElement(GetIndex($C54,'Trigger Events'!FunctionalUser)+1,'Trigger Events'!Name)</f>
        <v>0</v>
      </c>
      <c r="G54" s="224">
        <f>GetElement(GetIndex($F54,'Trigger Events'!Name)+1,'Trigger Events'!Label)</f>
        <v>0</v>
      </c>
      <c r="H54" s="225" t="s">
        <v>142</v>
      </c>
      <c r="I54" s="224" t="str">
        <f>GetElement(GetIndex($H54,'Objects Of Interest'!Name)+1,'Objects Of Interest'!Label)</f>
        <v>Execute Recipe</v>
      </c>
      <c r="J54" s="226" t="s">
        <v>209</v>
      </c>
      <c r="K54" s="227" t="s">
        <v>144</v>
      </c>
      <c r="L54" s="224" t="str">
        <f>GetElement(GetIndex($K54,'Objects Of Interest'!Name)+1,'Objects Of Interest'!Label)</f>
        <v>Boiling Plates</v>
      </c>
      <c r="M54" s="227" t="s">
        <v>105</v>
      </c>
      <c r="N54" s="224" t="str">
        <f>GetElement(GetIndex($M54,'Data Groups'!Name)+1,'Data Groups'!Label)</f>
        <v>Cooking Process</v>
      </c>
      <c r="O54" s="228" t="b">
        <f t="shared" si="2"/>
        <v>1</v>
      </c>
      <c r="P54" s="229" t="b">
        <v>1</v>
      </c>
      <c r="Q54" s="127" t="b">
        <v>1</v>
      </c>
      <c r="R54" s="127" t="b">
        <v>1</v>
      </c>
      <c r="S54" s="127" t="b">
        <v>1</v>
      </c>
      <c r="T54" s="230">
        <f>CountDataMovement('How to Use'!CheckTriggers,'How to Use'!CheckDataGroups,$O54,$C54,$H54,$M54,T$4,'Trigger Events'!FunctionalProcess,$P54:$S54)</f>
        <v>1</v>
      </c>
      <c r="U54" s="230">
        <f>CountDataMovement('How to Use'!CheckTriggers,'How to Use'!CheckDataGroups,$O54,$C54,$H54,$M54,U$4,'Trigger Events'!FunctionalProcess,$P54:$S54)</f>
        <v>0</v>
      </c>
      <c r="V54" s="230">
        <f>CountDataMovement('How to Use'!CheckTriggers,'How to Use'!CheckDataGroups,$O54,$C54,$H54,$M54,V$4,'Trigger Events'!FunctionalProcess,$P54:$S54)</f>
        <v>0</v>
      </c>
      <c r="W54" s="231">
        <f>CountDataMovement('How to Use'!CheckTriggers,'How to Use'!CheckDataGroups,$O54,$C54,$H54,$M54,W$4,'Trigger Events'!FunctionalProcess,$P54:$S54)</f>
        <v>0</v>
      </c>
      <c r="X54" s="35"/>
      <c r="Z54" t="s">
        <v>233</v>
      </c>
    </row>
    <row r="55" spans="2:26" ht="12.75" customHeight="1" x14ac:dyDescent="0.2">
      <c r="B55" s="48">
        <f>ROW(B55)-TableRowShift()</f>
        <v>50</v>
      </c>
      <c r="C55" s="220" t="s">
        <v>258</v>
      </c>
      <c r="D55" s="221" t="s">
        <v>185</v>
      </c>
      <c r="E55" s="222" t="s">
        <v>373</v>
      </c>
      <c r="F55" s="223">
        <f>GetElement(GetIndex($C55,'Trigger Events'!FunctionalUser)+1,'Trigger Events'!Name)</f>
        <v>0</v>
      </c>
      <c r="G55" s="224">
        <f>GetElement(GetIndex($F55,'Trigger Events'!Name)+1,'Trigger Events'!Label)</f>
        <v>0</v>
      </c>
      <c r="H55" s="225" t="s">
        <v>142</v>
      </c>
      <c r="I55" s="224" t="str">
        <f>GetElement(GetIndex($H55,'Objects Of Interest'!Name)+1,'Objects Of Interest'!Label)</f>
        <v>Execute Recipe</v>
      </c>
      <c r="J55" s="226" t="s">
        <v>210</v>
      </c>
      <c r="K55" s="227" t="s">
        <v>145</v>
      </c>
      <c r="L55" s="224" t="str">
        <f>GetElement(GetIndex($K55,'Objects Of Interest'!Name)+1,'Objects Of Interest'!Label)</f>
        <v>Oven &amp; Steamer</v>
      </c>
      <c r="M55" s="227" t="s">
        <v>106</v>
      </c>
      <c r="N55" s="224" t="str">
        <f>GetElement(GetIndex($M55,'Data Groups'!Name)+1,'Data Groups'!Label)</f>
        <v>Boiling Data</v>
      </c>
      <c r="O55" s="228" t="b">
        <f t="shared" si="2"/>
        <v>1</v>
      </c>
      <c r="P55" s="229" t="b">
        <v>1</v>
      </c>
      <c r="Q55" s="127" t="b">
        <v>1</v>
      </c>
      <c r="R55" s="127" t="b">
        <v>1</v>
      </c>
      <c r="S55" s="127" t="b">
        <v>1</v>
      </c>
      <c r="T55" s="230">
        <f>CountDataMovement('How to Use'!CheckTriggers,'How to Use'!CheckDataGroups,$O55,$C55,$H55,$M55,T$4,'Trigger Events'!FunctionalProcess,$P55:$S55)</f>
        <v>0</v>
      </c>
      <c r="U55" s="230">
        <f>CountDataMovement('How to Use'!CheckTriggers,'How to Use'!CheckDataGroups,$O55,$C55,$H55,$M55,U$4,'Trigger Events'!FunctionalProcess,$P55:$S55)</f>
        <v>1</v>
      </c>
      <c r="V55" s="230">
        <f>CountDataMovement('How to Use'!CheckTriggers,'How to Use'!CheckDataGroups,$O55,$C55,$H55,$M55,V$4,'Trigger Events'!FunctionalProcess,$P55:$S55)</f>
        <v>0</v>
      </c>
      <c r="W55" s="231">
        <f>CountDataMovement('How to Use'!CheckTriggers,'How to Use'!CheckDataGroups,$O55,$C55,$H55,$M55,W$4,'Trigger Events'!FunctionalProcess,$P55:$S55)</f>
        <v>0</v>
      </c>
      <c r="X55" s="35"/>
      <c r="Z55" t="s">
        <v>237</v>
      </c>
    </row>
    <row r="56" spans="2:26" ht="12.75" customHeight="1" x14ac:dyDescent="0.2">
      <c r="B56" s="48">
        <f>ROW(B56)-TableRowShift()</f>
        <v>51</v>
      </c>
      <c r="C56" s="220" t="s">
        <v>259</v>
      </c>
      <c r="D56" s="221" t="s">
        <v>186</v>
      </c>
      <c r="E56" s="222" t="s">
        <v>346</v>
      </c>
      <c r="F56" s="223">
        <f>GetElement(GetIndex($C56,'Trigger Events'!FunctionalUser)+1,'Trigger Events'!Name)</f>
        <v>0</v>
      </c>
      <c r="G56" s="224">
        <f>GetElement(GetIndex($F56,'Trigger Events'!Name)+1,'Trigger Events'!Label)</f>
        <v>0</v>
      </c>
      <c r="H56" s="225" t="s">
        <v>142</v>
      </c>
      <c r="I56" s="224" t="str">
        <f>GetElement(GetIndex($H56,'Objects Of Interest'!Name)+1,'Objects Of Interest'!Label)</f>
        <v>Execute Recipe</v>
      </c>
      <c r="J56" s="226" t="s">
        <v>209</v>
      </c>
      <c r="K56" s="227" t="s">
        <v>145</v>
      </c>
      <c r="L56" s="224" t="str">
        <f>GetElement(GetIndex($K56,'Objects Of Interest'!Name)+1,'Objects Of Interest'!Label)</f>
        <v>Oven &amp; Steamer</v>
      </c>
      <c r="M56" s="227" t="s">
        <v>106</v>
      </c>
      <c r="N56" s="224" t="str">
        <f>GetElement(GetIndex($M56,'Data Groups'!Name)+1,'Data Groups'!Label)</f>
        <v>Boiling Data</v>
      </c>
      <c r="O56" s="228" t="b">
        <f t="shared" si="2"/>
        <v>1</v>
      </c>
      <c r="P56" s="229" t="b">
        <v>1</v>
      </c>
      <c r="Q56" s="127" t="b">
        <v>1</v>
      </c>
      <c r="R56" s="127" t="b">
        <v>1</v>
      </c>
      <c r="S56" s="127" t="b">
        <v>1</v>
      </c>
      <c r="T56" s="230">
        <f>CountDataMovement('How to Use'!CheckTriggers,'How to Use'!CheckDataGroups,$O56,$C56,$H56,$M56,T$4,'Trigger Events'!FunctionalProcess,$P56:$S56)</f>
        <v>1</v>
      </c>
      <c r="U56" s="230">
        <f>CountDataMovement('How to Use'!CheckTriggers,'How to Use'!CheckDataGroups,$O56,$C56,$H56,$M56,U$4,'Trigger Events'!FunctionalProcess,$P56:$S56)</f>
        <v>0</v>
      </c>
      <c r="V56" s="230">
        <f>CountDataMovement('How to Use'!CheckTriggers,'How to Use'!CheckDataGroups,$O56,$C56,$H56,$M56,V$4,'Trigger Events'!FunctionalProcess,$P56:$S56)</f>
        <v>0</v>
      </c>
      <c r="W56" s="231">
        <f>CountDataMovement('How to Use'!CheckTriggers,'How to Use'!CheckDataGroups,$O56,$C56,$H56,$M56,W$4,'Trigger Events'!FunctionalProcess,$P56:$S56)</f>
        <v>0</v>
      </c>
      <c r="X56" s="35"/>
      <c r="Z56" t="s">
        <v>242</v>
      </c>
    </row>
    <row r="57" spans="2:26" ht="12.75" customHeight="1" x14ac:dyDescent="0.2">
      <c r="B57" s="48">
        <f>ROW(B57)-TableRowShift()</f>
        <v>52</v>
      </c>
      <c r="C57" s="220" t="s">
        <v>260</v>
      </c>
      <c r="D57" s="221" t="s">
        <v>187</v>
      </c>
      <c r="E57" s="222" t="s">
        <v>348</v>
      </c>
      <c r="F57" s="223">
        <f>GetElement(GetIndex($C57,'Trigger Events'!FunctionalUser)+1,'Trigger Events'!Name)</f>
        <v>0</v>
      </c>
      <c r="G57" s="224">
        <f>GetElement(GetIndex($F57,'Trigger Events'!Name)+1,'Trigger Events'!Label)</f>
        <v>0</v>
      </c>
      <c r="H57" s="225" t="s">
        <v>142</v>
      </c>
      <c r="I57" s="224" t="str">
        <f>GetElement(GetIndex($H57,'Objects Of Interest'!Name)+1,'Objects Of Interest'!Label)</f>
        <v>Execute Recipe</v>
      </c>
      <c r="J57" s="226" t="s">
        <v>210</v>
      </c>
      <c r="K57" s="227" t="s">
        <v>145</v>
      </c>
      <c r="L57" s="224" t="str">
        <f>GetElement(GetIndex($K57,'Objects Of Interest'!Name)+1,'Objects Of Interest'!Label)</f>
        <v>Oven &amp; Steamer</v>
      </c>
      <c r="M57" s="227" t="s">
        <v>105</v>
      </c>
      <c r="N57" s="224" t="str">
        <f>GetElement(GetIndex($M57,'Data Groups'!Name)+1,'Data Groups'!Label)</f>
        <v>Cooking Process</v>
      </c>
      <c r="O57" s="228" t="b">
        <f t="shared" si="2"/>
        <v>1</v>
      </c>
      <c r="P57" s="229" t="b">
        <v>1</v>
      </c>
      <c r="Q57" s="127" t="b">
        <v>1</v>
      </c>
      <c r="R57" s="127" t="b">
        <v>1</v>
      </c>
      <c r="S57" s="127" t="b">
        <v>1</v>
      </c>
      <c r="T57" s="230">
        <f>CountDataMovement('How to Use'!CheckTriggers,'How to Use'!CheckDataGroups,$O57,$C57,$H57,$M57,T$4,'Trigger Events'!FunctionalProcess,$P57:$S57)</f>
        <v>0</v>
      </c>
      <c r="U57" s="230">
        <f>CountDataMovement('How to Use'!CheckTriggers,'How to Use'!CheckDataGroups,$O57,$C57,$H57,$M57,U$4,'Trigger Events'!FunctionalProcess,$P57:$S57)</f>
        <v>1</v>
      </c>
      <c r="V57" s="230">
        <f>CountDataMovement('How to Use'!CheckTriggers,'How to Use'!CheckDataGroups,$O57,$C57,$H57,$M57,V$4,'Trigger Events'!FunctionalProcess,$P57:$S57)</f>
        <v>0</v>
      </c>
      <c r="W57" s="231">
        <f>CountDataMovement('How to Use'!CheckTriggers,'How to Use'!CheckDataGroups,$O57,$C57,$H57,$M57,W$4,'Trigger Events'!FunctionalProcess,$P57:$S57)</f>
        <v>0</v>
      </c>
      <c r="X57" s="35"/>
      <c r="Z57" t="s">
        <v>251</v>
      </c>
    </row>
    <row r="58" spans="2:26" ht="12.75" customHeight="1" x14ac:dyDescent="0.2">
      <c r="B58" s="48">
        <f>ROW(B58)-TableRowShift()</f>
        <v>53</v>
      </c>
      <c r="C58" s="220" t="s">
        <v>261</v>
      </c>
      <c r="D58" s="221" t="s">
        <v>188</v>
      </c>
      <c r="E58" s="222" t="s">
        <v>349</v>
      </c>
      <c r="F58" s="223">
        <f>GetElement(GetIndex($C58,'Trigger Events'!FunctionalUser)+1,'Trigger Events'!Name)</f>
        <v>0</v>
      </c>
      <c r="G58" s="224">
        <f>GetElement(GetIndex($F58,'Trigger Events'!Name)+1,'Trigger Events'!Label)</f>
        <v>0</v>
      </c>
      <c r="H58" s="225" t="s">
        <v>142</v>
      </c>
      <c r="I58" s="224" t="str">
        <f>GetElement(GetIndex($H58,'Objects Of Interest'!Name)+1,'Objects Of Interest'!Label)</f>
        <v>Execute Recipe</v>
      </c>
      <c r="J58" s="226" t="s">
        <v>209</v>
      </c>
      <c r="K58" s="227" t="s">
        <v>145</v>
      </c>
      <c r="L58" s="224" t="str">
        <f>GetElement(GetIndex($K58,'Objects Of Interest'!Name)+1,'Objects Of Interest'!Label)</f>
        <v>Oven &amp; Steamer</v>
      </c>
      <c r="M58" s="227" t="s">
        <v>105</v>
      </c>
      <c r="N58" s="224" t="str">
        <f>GetElement(GetIndex($M58,'Data Groups'!Name)+1,'Data Groups'!Label)</f>
        <v>Cooking Process</v>
      </c>
      <c r="O58" s="228" t="b">
        <f t="shared" si="2"/>
        <v>1</v>
      </c>
      <c r="P58" s="229" t="b">
        <v>1</v>
      </c>
      <c r="Q58" s="127" t="b">
        <v>1</v>
      </c>
      <c r="R58" s="127" t="b">
        <v>1</v>
      </c>
      <c r="S58" s="127" t="b">
        <v>1</v>
      </c>
      <c r="T58" s="230">
        <f>CountDataMovement('How to Use'!CheckTriggers,'How to Use'!CheckDataGroups,$O58,$C58,$H58,$M58,T$4,'Trigger Events'!FunctionalProcess,$P58:$S58)</f>
        <v>1</v>
      </c>
      <c r="U58" s="230">
        <f>CountDataMovement('How to Use'!CheckTriggers,'How to Use'!CheckDataGroups,$O58,$C58,$H58,$M58,U$4,'Trigger Events'!FunctionalProcess,$P58:$S58)</f>
        <v>0</v>
      </c>
      <c r="V58" s="230">
        <f>CountDataMovement('How to Use'!CheckTriggers,'How to Use'!CheckDataGroups,$O58,$C58,$H58,$M58,V$4,'Trigger Events'!FunctionalProcess,$P58:$S58)</f>
        <v>0</v>
      </c>
      <c r="W58" s="231">
        <f>CountDataMovement('How to Use'!CheckTriggers,'How to Use'!CheckDataGroups,$O58,$C58,$H58,$M58,W$4,'Trigger Events'!FunctionalProcess,$P58:$S58)</f>
        <v>0</v>
      </c>
      <c r="X58" s="35"/>
      <c r="Z58" t="s">
        <v>254</v>
      </c>
    </row>
    <row r="59" spans="2:26" ht="12.75" customHeight="1" x14ac:dyDescent="0.2">
      <c r="B59" s="48">
        <f>ROW(B59)-TableRowShift()</f>
        <v>54</v>
      </c>
      <c r="C59" s="220" t="s">
        <v>262</v>
      </c>
      <c r="D59" s="221" t="s">
        <v>189</v>
      </c>
      <c r="E59" s="222" t="s">
        <v>207</v>
      </c>
      <c r="F59" s="223">
        <f>GetElement(GetIndex($C59,'Trigger Events'!FunctionalUser)+1,'Trigger Events'!Name)</f>
        <v>0</v>
      </c>
      <c r="G59" s="224">
        <f>GetElement(GetIndex($F59,'Trigger Events'!Name)+1,'Trigger Events'!Label)</f>
        <v>0</v>
      </c>
      <c r="H59" s="225" t="s">
        <v>142</v>
      </c>
      <c r="I59" s="224" t="str">
        <f>GetElement(GetIndex($H59,'Objects Of Interest'!Name)+1,'Objects Of Interest'!Label)</f>
        <v>Execute Recipe</v>
      </c>
      <c r="J59" s="226" t="s">
        <v>210</v>
      </c>
      <c r="K59" s="227" t="s">
        <v>135</v>
      </c>
      <c r="L59" s="224" t="str">
        <f>GetElement(GetIndex($K59,'Objects Of Interest'!Name)+1,'Objects Of Interest'!Label)</f>
        <v>Kitchen User</v>
      </c>
      <c r="M59" s="227" t="s">
        <v>106</v>
      </c>
      <c r="N59" s="224" t="str">
        <f>GetElement(GetIndex($M59,'Data Groups'!Name)+1,'Data Groups'!Label)</f>
        <v>Boiling Data</v>
      </c>
      <c r="O59" s="228" t="b">
        <f t="shared" si="2"/>
        <v>1</v>
      </c>
      <c r="P59" s="229" t="b">
        <v>1</v>
      </c>
      <c r="Q59" s="127" t="b">
        <v>1</v>
      </c>
      <c r="R59" s="127" t="b">
        <v>1</v>
      </c>
      <c r="S59" s="127" t="b">
        <v>1</v>
      </c>
      <c r="T59" s="230">
        <f>CountDataMovement('How to Use'!CheckTriggers,'How to Use'!CheckDataGroups,$O59,$C59,$H59,$M59,T$4,'Trigger Events'!FunctionalProcess,$P59:$S59)</f>
        <v>0</v>
      </c>
      <c r="U59" s="230">
        <f>CountDataMovement('How to Use'!CheckTriggers,'How to Use'!CheckDataGroups,$O59,$C59,$H59,$M59,U$4,'Trigger Events'!FunctionalProcess,$P59:$S59)</f>
        <v>1</v>
      </c>
      <c r="V59" s="230">
        <f>CountDataMovement('How to Use'!CheckTriggers,'How to Use'!CheckDataGroups,$O59,$C59,$H59,$M59,V$4,'Trigger Events'!FunctionalProcess,$P59:$S59)</f>
        <v>0</v>
      </c>
      <c r="W59" s="231">
        <f>CountDataMovement('How to Use'!CheckTriggers,'How to Use'!CheckDataGroups,$O59,$C59,$H59,$M59,W$4,'Trigger Events'!FunctionalProcess,$P59:$S59)</f>
        <v>0</v>
      </c>
      <c r="X59" s="35"/>
      <c r="Z59" t="s">
        <v>256</v>
      </c>
    </row>
    <row r="60" spans="2:26" ht="12.75" customHeight="1" x14ac:dyDescent="0.2">
      <c r="B60" s="48">
        <f>ROW(B60)-TableRowShift()</f>
        <v>55</v>
      </c>
      <c r="C60" s="220" t="s">
        <v>263</v>
      </c>
      <c r="D60" s="221" t="s">
        <v>190</v>
      </c>
      <c r="E60" s="222" t="s">
        <v>374</v>
      </c>
      <c r="F60" s="223">
        <f>GetElement(GetIndex($C60,'Trigger Events'!FunctionalUser)+1,'Trigger Events'!Name)</f>
        <v>0</v>
      </c>
      <c r="G60" s="224">
        <f>GetElement(GetIndex($F60,'Trigger Events'!Name)+1,'Trigger Events'!Label)</f>
        <v>0</v>
      </c>
      <c r="H60" s="225" t="s">
        <v>142</v>
      </c>
      <c r="I60" s="224" t="str">
        <f>GetElement(GetIndex($H60,'Objects Of Interest'!Name)+1,'Objects Of Interest'!Label)</f>
        <v>Execute Recipe</v>
      </c>
      <c r="J60" s="226" t="s">
        <v>209</v>
      </c>
      <c r="K60" s="227" t="s">
        <v>135</v>
      </c>
      <c r="L60" s="224" t="str">
        <f>GetElement(GetIndex($K60,'Objects Of Interest'!Name)+1,'Objects Of Interest'!Label)</f>
        <v>Kitchen User</v>
      </c>
      <c r="M60" s="227" t="s">
        <v>105</v>
      </c>
      <c r="N60" s="224" t="str">
        <f>GetElement(GetIndex($M60,'Data Groups'!Name)+1,'Data Groups'!Label)</f>
        <v>Cooking Process</v>
      </c>
      <c r="O60" s="228" t="b">
        <f t="shared" si="2"/>
        <v>1</v>
      </c>
      <c r="P60" s="229" t="b">
        <v>1</v>
      </c>
      <c r="Q60" s="127" t="b">
        <v>1</v>
      </c>
      <c r="R60" s="127" t="b">
        <v>1</v>
      </c>
      <c r="S60" s="127" t="b">
        <v>1</v>
      </c>
      <c r="T60" s="230">
        <f>CountDataMovement('How to Use'!CheckTriggers,'How to Use'!CheckDataGroups,$O60,$C60,$H60,$M60,T$4,'Trigger Events'!FunctionalProcess,$P60:$S60)</f>
        <v>1</v>
      </c>
      <c r="U60" s="230">
        <f>CountDataMovement('How to Use'!CheckTriggers,'How to Use'!CheckDataGroups,$O60,$C60,$H60,$M60,U$4,'Trigger Events'!FunctionalProcess,$P60:$S60)</f>
        <v>0</v>
      </c>
      <c r="V60" s="230">
        <f>CountDataMovement('How to Use'!CheckTriggers,'How to Use'!CheckDataGroups,$O60,$C60,$H60,$M60,V$4,'Trigger Events'!FunctionalProcess,$P60:$S60)</f>
        <v>0</v>
      </c>
      <c r="W60" s="231">
        <f>CountDataMovement('How to Use'!CheckTriggers,'How to Use'!CheckDataGroups,$O60,$C60,$H60,$M60,W$4,'Trigger Events'!FunctionalProcess,$P60:$S60)</f>
        <v>0</v>
      </c>
      <c r="X60" s="35"/>
      <c r="Z60" t="s">
        <v>258</v>
      </c>
    </row>
    <row r="61" spans="2:26" ht="12.75" customHeight="1" x14ac:dyDescent="0.2">
      <c r="B61" s="48">
        <f>ROW(B61)-TableRowShift()</f>
        <v>56</v>
      </c>
      <c r="C61" s="220" t="s">
        <v>264</v>
      </c>
      <c r="D61" s="221" t="s">
        <v>191</v>
      </c>
      <c r="E61" s="222" t="s">
        <v>350</v>
      </c>
      <c r="F61" s="223">
        <f>GetElement(GetIndex($C61,'Trigger Events'!FunctionalUser)+1,'Trigger Events'!Name)</f>
        <v>0</v>
      </c>
      <c r="G61" s="224">
        <f>GetElement(GetIndex($F61,'Trigger Events'!Name)+1,'Trigger Events'!Label)</f>
        <v>0</v>
      </c>
      <c r="H61" s="225" t="s">
        <v>142</v>
      </c>
      <c r="I61" s="224" t="str">
        <f>GetElement(GetIndex($H61,'Objects Of Interest'!Name)+1,'Objects Of Interest'!Label)</f>
        <v>Execute Recipe</v>
      </c>
      <c r="J61" s="226" t="s">
        <v>210</v>
      </c>
      <c r="K61" s="227" t="s">
        <v>135</v>
      </c>
      <c r="L61" s="224" t="str">
        <f>GetElement(GetIndex($K61,'Objects Of Interest'!Name)+1,'Objects Of Interest'!Label)</f>
        <v>Kitchen User</v>
      </c>
      <c r="M61" s="227" t="s">
        <v>107</v>
      </c>
      <c r="N61" s="224" t="str">
        <f>GetElement(GetIndex($M61,'Data Groups'!Name)+1,'Data Groups'!Label)</f>
        <v>Nutrition Facts</v>
      </c>
      <c r="O61" s="228" t="b">
        <f t="shared" si="2"/>
        <v>1</v>
      </c>
      <c r="P61" s="229" t="b">
        <v>1</v>
      </c>
      <c r="Q61" s="127" t="b">
        <v>1</v>
      </c>
      <c r="R61" s="127" t="b">
        <v>1</v>
      </c>
      <c r="S61" s="127" t="b">
        <v>1</v>
      </c>
      <c r="T61" s="230">
        <f>CountDataMovement('How to Use'!CheckTriggers,'How to Use'!CheckDataGroups,$O61,$C61,$H61,$M61,T$4,'Trigger Events'!FunctionalProcess,$P61:$S61)</f>
        <v>0</v>
      </c>
      <c r="U61" s="230">
        <f>CountDataMovement('How to Use'!CheckTriggers,'How to Use'!CheckDataGroups,$O61,$C61,$H61,$M61,U$4,'Trigger Events'!FunctionalProcess,$P61:$S61)</f>
        <v>1</v>
      </c>
      <c r="V61" s="230">
        <f>CountDataMovement('How to Use'!CheckTriggers,'How to Use'!CheckDataGroups,$O61,$C61,$H61,$M61,V$4,'Trigger Events'!FunctionalProcess,$P61:$S61)</f>
        <v>0</v>
      </c>
      <c r="W61" s="231">
        <f>CountDataMovement('How to Use'!CheckTriggers,'How to Use'!CheckDataGroups,$O61,$C61,$H61,$M61,W$4,'Trigger Events'!FunctionalProcess,$P61:$S61)</f>
        <v>0</v>
      </c>
      <c r="X61" s="35"/>
      <c r="Z61" t="s">
        <v>260</v>
      </c>
    </row>
    <row r="62" spans="2:26" ht="12.75" customHeight="1" x14ac:dyDescent="0.2">
      <c r="B62" s="48">
        <f>ROW(B62)-TableRowShift()</f>
        <v>57</v>
      </c>
      <c r="C62" s="220" t="s">
        <v>265</v>
      </c>
      <c r="D62" s="221" t="s">
        <v>192</v>
      </c>
      <c r="E62" s="222" t="s">
        <v>332</v>
      </c>
      <c r="F62" s="223">
        <f>GetElement(GetIndex($C62,'Trigger Events'!FunctionalUser)+1,'Trigger Events'!Name)</f>
        <v>0</v>
      </c>
      <c r="G62" s="224">
        <f>GetElement(GetIndex($F62,'Trigger Events'!Name)+1,'Trigger Events'!Label)</f>
        <v>0</v>
      </c>
      <c r="H62" s="225" t="s">
        <v>142</v>
      </c>
      <c r="I62" s="224" t="str">
        <f>GetElement(GetIndex($H62,'Objects Of Interest'!Name)+1,'Objects Of Interest'!Label)</f>
        <v>Execute Recipe</v>
      </c>
      <c r="J62" s="226" t="s">
        <v>210</v>
      </c>
      <c r="K62" s="227" t="s">
        <v>146</v>
      </c>
      <c r="L62" s="224" t="str">
        <f>GetElement(GetIndex($K62,'Objects Of Interest'!Name)+1,'Objects Of Interest'!Label)</f>
        <v>Recipe Log</v>
      </c>
      <c r="M62" s="227" t="s">
        <v>34</v>
      </c>
      <c r="N62" s="224" t="str">
        <f>GetElement(GetIndex($M62,'Data Groups'!Name)+1,'Data Groups'!Label)</f>
        <v>Recipe</v>
      </c>
      <c r="O62" s="228" t="b">
        <f t="shared" si="2"/>
        <v>1</v>
      </c>
      <c r="P62" s="229" t="b">
        <v>1</v>
      </c>
      <c r="Q62" s="127" t="b">
        <v>1</v>
      </c>
      <c r="R62" s="127" t="b">
        <v>1</v>
      </c>
      <c r="S62" s="127" t="b">
        <v>1</v>
      </c>
      <c r="T62" s="230">
        <f>CountDataMovement('How to Use'!CheckTriggers,'How to Use'!CheckDataGroups,$O62,$C62,$H62,$M62,T$4,'Trigger Events'!FunctionalProcess,$P62:$S62)</f>
        <v>0</v>
      </c>
      <c r="U62" s="230">
        <f>CountDataMovement('How to Use'!CheckTriggers,'How to Use'!CheckDataGroups,$O62,$C62,$H62,$M62,U$4,'Trigger Events'!FunctionalProcess,$P62:$S62)</f>
        <v>0</v>
      </c>
      <c r="V62" s="230">
        <f>CountDataMovement('How to Use'!CheckTriggers,'How to Use'!CheckDataGroups,$O62,$C62,$H62,$M62,V$4,'Trigger Events'!FunctionalProcess,$P62:$S62)</f>
        <v>0</v>
      </c>
      <c r="W62" s="231">
        <f>CountDataMovement('How to Use'!CheckTriggers,'How to Use'!CheckDataGroups,$O62,$C62,$H62,$M62,W$4,'Trigger Events'!FunctionalProcess,$P62:$S62)</f>
        <v>1</v>
      </c>
      <c r="X62" s="35"/>
      <c r="Z62" t="s">
        <v>262</v>
      </c>
    </row>
    <row r="63" spans="2:26" ht="12.75" customHeight="1" x14ac:dyDescent="0.2">
      <c r="B63" s="48">
        <f>ROW(B63)-TableRowShift()</f>
        <v>58</v>
      </c>
      <c r="C63" s="220" t="s">
        <v>266</v>
      </c>
      <c r="D63" s="221" t="s">
        <v>193</v>
      </c>
      <c r="E63" s="222" t="s">
        <v>375</v>
      </c>
      <c r="F63" s="223" t="str">
        <f>GetElement(GetIndex($C63,'Trigger Events'!FunctionalUser)+1,'Trigger Events'!Name)</f>
        <v>T07</v>
      </c>
      <c r="G63" s="224" t="str">
        <f>GetElement(GetIndex($F63,'Trigger Events'!Name)+1,'Trigger Events'!Label)</f>
        <v>Remember</v>
      </c>
      <c r="H63" s="225" t="s">
        <v>142</v>
      </c>
      <c r="I63" s="224" t="str">
        <f>GetElement(GetIndex($H63,'Objects Of Interest'!Name)+1,'Objects Of Interest'!Label)</f>
        <v>Execute Recipe</v>
      </c>
      <c r="J63" s="226" t="s">
        <v>209</v>
      </c>
      <c r="K63" s="227" t="s">
        <v>135</v>
      </c>
      <c r="L63" s="224" t="str">
        <f>GetElement(GetIndex($K63,'Objects Of Interest'!Name)+1,'Objects Of Interest'!Label)</f>
        <v>Kitchen User</v>
      </c>
      <c r="M63" s="227" t="s">
        <v>104</v>
      </c>
      <c r="N63" s="224" t="str">
        <f>GetElement(GetIndex($M63,'Data Groups'!Name)+1,'Data Groups'!Label)</f>
        <v>Expiration</v>
      </c>
      <c r="O63" s="228" t="b">
        <f t="shared" si="2"/>
        <v>1</v>
      </c>
      <c r="P63" s="229" t="b">
        <v>1</v>
      </c>
      <c r="Q63" s="127" t="b">
        <v>1</v>
      </c>
      <c r="R63" s="127" t="b">
        <v>1</v>
      </c>
      <c r="S63" s="127" t="b">
        <v>1</v>
      </c>
      <c r="T63" s="230">
        <f>CountDataMovement('How to Use'!CheckTriggers,'How to Use'!CheckDataGroups,$O63,$C63,$H63,$M63,T$4,'Trigger Events'!FunctionalProcess,$P63:$S63)</f>
        <v>1</v>
      </c>
      <c r="U63" s="230">
        <f>CountDataMovement('How to Use'!CheckTriggers,'How to Use'!CheckDataGroups,$O63,$C63,$H63,$M63,U$4,'Trigger Events'!FunctionalProcess,$P63:$S63)</f>
        <v>0</v>
      </c>
      <c r="V63" s="230">
        <f>CountDataMovement('How to Use'!CheckTriggers,'How to Use'!CheckDataGroups,$O63,$C63,$H63,$M63,V$4,'Trigger Events'!FunctionalProcess,$P63:$S63)</f>
        <v>0</v>
      </c>
      <c r="W63" s="231">
        <f>CountDataMovement('How to Use'!CheckTriggers,'How to Use'!CheckDataGroups,$O63,$C63,$H63,$M63,W$4,'Trigger Events'!FunctionalProcess,$P63:$S63)</f>
        <v>0</v>
      </c>
      <c r="X63" s="35"/>
      <c r="Z63" t="s">
        <v>264</v>
      </c>
    </row>
    <row r="64" spans="2:26" ht="12.75" customHeight="1" x14ac:dyDescent="0.2">
      <c r="B64" s="48">
        <f>ROW(B64)-TableRowShift()</f>
        <v>59</v>
      </c>
      <c r="C64" s="220" t="s">
        <v>267</v>
      </c>
      <c r="D64" s="221" t="s">
        <v>194</v>
      </c>
      <c r="E64" s="222" t="s">
        <v>208</v>
      </c>
      <c r="F64" s="223">
        <f>GetElement(GetIndex($C64,'Trigger Events'!FunctionalUser)+1,'Trigger Events'!Name)</f>
        <v>0</v>
      </c>
      <c r="G64" s="224">
        <f>GetElement(GetIndex($F64,'Trigger Events'!Name)+1,'Trigger Events'!Label)</f>
        <v>0</v>
      </c>
      <c r="H64" s="225" t="s">
        <v>142</v>
      </c>
      <c r="I64" s="224" t="str">
        <f>GetElement(GetIndex($H64,'Objects Of Interest'!Name)+1,'Objects Of Interest'!Label)</f>
        <v>Execute Recipe</v>
      </c>
      <c r="J64" s="226" t="s">
        <v>209</v>
      </c>
      <c r="K64" s="227" t="s">
        <v>146</v>
      </c>
      <c r="L64" s="224" t="str">
        <f>GetElement(GetIndex($K64,'Objects Of Interest'!Name)+1,'Objects Of Interest'!Label)</f>
        <v>Recipe Log</v>
      </c>
      <c r="M64" s="227" t="s">
        <v>96</v>
      </c>
      <c r="N64" s="224" t="str">
        <f>GetElement(GetIndex($M64,'Data Groups'!Name)+1,'Data Groups'!Label)</f>
        <v>Recipe ID</v>
      </c>
      <c r="O64" s="228" t="b">
        <f t="shared" si="2"/>
        <v>1</v>
      </c>
      <c r="P64" s="229" t="b">
        <v>1</v>
      </c>
      <c r="Q64" s="127" t="b">
        <v>1</v>
      </c>
      <c r="R64" s="127" t="b">
        <v>1</v>
      </c>
      <c r="S64" s="127" t="b">
        <v>1</v>
      </c>
      <c r="T64" s="230">
        <f>CountDataMovement('How to Use'!CheckTriggers,'How to Use'!CheckDataGroups,$O64,$C64,$H64,$M64,T$4,'Trigger Events'!FunctionalProcess,$P64:$S64)</f>
        <v>0</v>
      </c>
      <c r="U64" s="230">
        <f>CountDataMovement('How to Use'!CheckTriggers,'How to Use'!CheckDataGroups,$O64,$C64,$H64,$M64,U$4,'Trigger Events'!FunctionalProcess,$P64:$S64)</f>
        <v>0</v>
      </c>
      <c r="V64" s="230">
        <f>CountDataMovement('How to Use'!CheckTriggers,'How to Use'!CheckDataGroups,$O64,$C64,$H64,$M64,V$4,'Trigger Events'!FunctionalProcess,$P64:$S64)</f>
        <v>1</v>
      </c>
      <c r="W64" s="231">
        <f>CountDataMovement('How to Use'!CheckTriggers,'How to Use'!CheckDataGroups,$O64,$C64,$H64,$M64,W$4,'Trigger Events'!FunctionalProcess,$P64:$S64)</f>
        <v>0</v>
      </c>
      <c r="X64" s="35"/>
      <c r="Z64" t="s">
        <v>268</v>
      </c>
    </row>
    <row r="65" spans="2:24" ht="12.75" customHeight="1" x14ac:dyDescent="0.2">
      <c r="B65" s="48">
        <f>ROW(B65)-TableRowShift()</f>
        <v>60</v>
      </c>
      <c r="C65" s="220" t="s">
        <v>268</v>
      </c>
      <c r="D65" s="221" t="s">
        <v>195</v>
      </c>
      <c r="E65" s="222" t="s">
        <v>351</v>
      </c>
      <c r="F65" s="223">
        <f>GetElement(GetIndex($C65,'Trigger Events'!FunctionalUser)+1,'Trigger Events'!Name)</f>
        <v>0</v>
      </c>
      <c r="G65" s="224">
        <f>GetElement(GetIndex($F65,'Trigger Events'!Name)+1,'Trigger Events'!Label)</f>
        <v>0</v>
      </c>
      <c r="H65" s="225" t="s">
        <v>142</v>
      </c>
      <c r="I65" s="224" t="str">
        <f>GetElement(GetIndex($H65,'Objects Of Interest'!Name)+1,'Objects Of Interest'!Label)</f>
        <v>Execute Recipe</v>
      </c>
      <c r="J65" s="226" t="s">
        <v>210</v>
      </c>
      <c r="K65" s="227" t="s">
        <v>135</v>
      </c>
      <c r="L65" s="224" t="str">
        <f>GetElement(GetIndex($K65,'Objects Of Interest'!Name)+1,'Objects Of Interest'!Label)</f>
        <v>Kitchen User</v>
      </c>
      <c r="M65" s="227" t="s">
        <v>98</v>
      </c>
      <c r="N65" s="224" t="str">
        <f>GetElement(GetIndex($M65,'Data Groups'!Name)+1,'Data Groups'!Label)</f>
        <v>Recipe Group</v>
      </c>
      <c r="O65" s="228" t="b">
        <f t="shared" si="2"/>
        <v>1</v>
      </c>
      <c r="P65" s="229" t="b">
        <v>1</v>
      </c>
      <c r="Q65" s="127" t="b">
        <v>1</v>
      </c>
      <c r="R65" s="127" t="b">
        <v>1</v>
      </c>
      <c r="S65" s="127" t="b">
        <v>1</v>
      </c>
      <c r="T65" s="230">
        <f>CountDataMovement('How to Use'!CheckTriggers,'How to Use'!CheckDataGroups,$O65,$C65,$H65,$M65,T$4,'Trigger Events'!FunctionalProcess,$P65:$S65)</f>
        <v>0</v>
      </c>
      <c r="U65" s="230">
        <f>CountDataMovement('How to Use'!CheckTriggers,'How to Use'!CheckDataGroups,$O65,$C65,$H65,$M65,U$4,'Trigger Events'!FunctionalProcess,$P65:$S65)</f>
        <v>1</v>
      </c>
      <c r="V65" s="230">
        <f>CountDataMovement('How to Use'!CheckTriggers,'How to Use'!CheckDataGroups,$O65,$C65,$H65,$M65,V$4,'Trigger Events'!FunctionalProcess,$P65:$S65)</f>
        <v>0</v>
      </c>
      <c r="W65" s="231">
        <f>CountDataMovement('How to Use'!CheckTriggers,'How to Use'!CheckDataGroups,$O65,$C65,$H65,$M65,W$4,'Trigger Events'!FunctionalProcess,$P65:$S65)</f>
        <v>0</v>
      </c>
      <c r="X65" s="35"/>
    </row>
    <row r="66" spans="2:24" ht="24" hidden="1" customHeight="1" x14ac:dyDescent="0.2">
      <c r="B66" s="48"/>
      <c r="C66" s="141"/>
      <c r="D66" s="157"/>
      <c r="E66" s="158"/>
      <c r="F66" s="143"/>
      <c r="G66" s="50"/>
      <c r="H66" s="147"/>
      <c r="I66" s="50"/>
      <c r="J66" s="154"/>
      <c r="K66" s="145"/>
      <c r="L66" s="50"/>
      <c r="M66" s="145"/>
      <c r="N66" s="50"/>
      <c r="O66" s="152"/>
      <c r="P66" s="159"/>
      <c r="Q66" s="160"/>
      <c r="R66" s="160"/>
      <c r="S66" s="160"/>
      <c r="T66" s="42"/>
      <c r="U66" s="42"/>
      <c r="V66" s="42"/>
      <c r="W66" s="43"/>
      <c r="X66" s="35"/>
    </row>
    <row r="67" spans="2:24" ht="24" customHeight="1" x14ac:dyDescent="0.25">
      <c r="B67" s="33"/>
      <c r="C67" s="22"/>
      <c r="D67" s="46"/>
      <c r="E67" s="23"/>
      <c r="F67" s="21"/>
      <c r="G67" s="21"/>
      <c r="H67" s="148"/>
      <c r="I67" s="21"/>
      <c r="J67" s="22"/>
      <c r="K67" s="22"/>
      <c r="L67" s="21"/>
      <c r="M67" s="22"/>
      <c r="N67" s="21"/>
      <c r="O67" s="21"/>
      <c r="P67" s="23" t="s">
        <v>18</v>
      </c>
      <c r="Q67" s="22"/>
      <c r="R67" s="22"/>
      <c r="S67" s="22"/>
      <c r="T67" s="69">
        <f>SUM(T5:T66)</f>
        <v>21</v>
      </c>
      <c r="U67" s="24">
        <f>SUM(U5:U66)</f>
        <v>17</v>
      </c>
      <c r="V67" s="24">
        <f>SUM(V5:V66)</f>
        <v>13</v>
      </c>
      <c r="W67" s="24">
        <f>SUM(W5:W66)</f>
        <v>9</v>
      </c>
      <c r="X67" s="35"/>
    </row>
    <row r="68" spans="2:24" ht="18" x14ac:dyDescent="0.25">
      <c r="B68" s="33"/>
      <c r="C68" s="22"/>
      <c r="D68" s="46"/>
      <c r="E68" s="25"/>
      <c r="F68" s="21"/>
      <c r="G68" s="21"/>
      <c r="H68" s="148"/>
      <c r="I68" s="21"/>
      <c r="J68" s="22"/>
      <c r="K68" s="22"/>
      <c r="L68" s="21"/>
      <c r="M68" s="22"/>
      <c r="N68" s="21"/>
      <c r="O68" s="21"/>
      <c r="P68" s="146" t="s">
        <v>19</v>
      </c>
      <c r="Q68" s="22"/>
      <c r="R68" s="22"/>
      <c r="S68" s="22"/>
      <c r="T68" s="262">
        <f>SUM(T67:W67)</f>
        <v>60</v>
      </c>
      <c r="U68" s="262"/>
      <c r="V68" s="262"/>
      <c r="W68" s="262"/>
      <c r="X68" s="35"/>
    </row>
    <row r="69" spans="2:24" ht="6.75" customHeight="1" thickBot="1" x14ac:dyDescent="0.3">
      <c r="B69" s="36"/>
      <c r="C69" s="38"/>
      <c r="D69" s="47"/>
      <c r="E69" s="37"/>
      <c r="F69" s="37"/>
      <c r="G69" s="37"/>
      <c r="H69" s="38"/>
      <c r="I69" s="37"/>
      <c r="J69" s="38"/>
      <c r="K69" s="38"/>
      <c r="L69" s="37"/>
      <c r="M69" s="38"/>
      <c r="N69" s="37"/>
      <c r="O69" s="37"/>
      <c r="P69" s="38"/>
      <c r="Q69" s="38"/>
      <c r="R69" s="38"/>
      <c r="S69" s="38"/>
      <c r="T69" s="37"/>
      <c r="U69" s="37"/>
      <c r="V69" s="37"/>
      <c r="W69" s="216">
        <f>T68</f>
        <v>60</v>
      </c>
      <c r="X69" s="39"/>
    </row>
  </sheetData>
  <sheetProtection sheet="1" objects="1" scenarios="1" selectLockedCells="1"/>
  <mergeCells count="9">
    <mergeCell ref="C3:E3"/>
    <mergeCell ref="H3:L3"/>
    <mergeCell ref="P3:S3"/>
    <mergeCell ref="T3:W3"/>
    <mergeCell ref="T68:W68"/>
    <mergeCell ref="H4:I4"/>
    <mergeCell ref="F4:G4"/>
    <mergeCell ref="K4:L4"/>
    <mergeCell ref="M4:N4"/>
  </mergeCells>
  <phoneticPr fontId="0" type="noConversion"/>
  <conditionalFormatting sqref="M5:M65">
    <cfRule type="cellIs" dxfId="7" priority="19" stopIfTrue="1" operator="equal">
      <formula>"Yes"</formula>
    </cfRule>
    <cfRule type="cellIs" dxfId="6" priority="20" stopIfTrue="1" operator="equal">
      <formula>"No"</formula>
    </cfRule>
  </conditionalFormatting>
  <conditionalFormatting sqref="M66">
    <cfRule type="cellIs" dxfId="5" priority="9" stopIfTrue="1" operator="equal">
      <formula>"Yes"</formula>
    </cfRule>
    <cfRule type="cellIs" dxfId="4" priority="10" stopIfTrue="1" operator="equal">
      <formula>"No"</formula>
    </cfRule>
  </conditionalFormatting>
  <conditionalFormatting sqref="O5:S66">
    <cfRule type="cellIs" dxfId="3" priority="15" stopIfTrue="1" operator="equal">
      <formula>TRUE</formula>
    </cfRule>
    <cfRule type="cellIs" dxfId="2" priority="16" stopIfTrue="1" operator="equal">
      <formula>FALSE</formula>
    </cfRule>
  </conditionalFormatting>
  <dataValidations count="7">
    <dataValidation type="list" allowBlank="1" showErrorMessage="1" errorTitle="Yes or No" error="No in-between!" sqref="Q67:S68">
      <formula1>"Yes,No"</formula1>
    </dataValidation>
    <dataValidation type="whole" errorStyle="warning" allowBlank="1" showErrorMessage="1" errorTitle="Nothing, or 1" error="You should not sum Cfsu unless you're really sure" sqref="T66:W66">
      <formula1>0</formula1>
      <formula2>1</formula2>
    </dataValidation>
    <dataValidation type="list" allowBlank="1" showErrorMessage="1" errorTitle="Yes or No" error="No in-between!" sqref="P5:S66">
      <formula1>"True,False"</formula1>
    </dataValidation>
    <dataValidation type="list" allowBlank="1" showInputMessage="1" showErrorMessage="1" errorTitle="Select direction" error="You must select one direction on order to specify data movement correctly!" promptTitle="Enter direction" prompt="Enter direction of data movement:_x000a_'&lt;' means Entry or Read into functional process_x000a_'&gt;' means eXit or Write out of functional process" sqref="J5:J66">
      <formula1>"&lt;,&gt;"</formula1>
    </dataValidation>
    <dataValidation type="list" operator="equal" showErrorMessage="1" errorTitle="Not Found" error="This entry wasn't found within the list of Functional Processes on the sheet 'Objects Of Interest'" promptTitle="Enter Functional Process " prompt="This entry must exist in the list of Functional Processes on sheet 'Objects Of Interest'" sqref="H5:H66">
      <formula1>FunctionalProcess_ValidationList</formula1>
    </dataValidation>
    <dataValidation type="list" operator="equal" showErrorMessage="1" errorTitle="Not Found" error="This entry wasn't found within the 'Name'-column on sheet Objects Of Interest" promptTitle="Enter Object of Interest" prompt="This entry must exist in the 'Name'-column on sheet Objects Of Interest" sqref="K5:K66">
      <formula1>ObjectReference_ValidationList</formula1>
    </dataValidation>
    <dataValidation type="list" operator="equal" showErrorMessage="1" errorTitle="Not Found" error="This entry wasn't found within the 'Name'-column on sheet 'Data Groups'" promptTitle="Enter Data Group" prompt="This entry must exist in the 'Name'-column on sheet 'Data Groups'" sqref="M5:M66">
      <formula1>DataGroups_ValidationList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Groups"/>
  <dimension ref="B1:J22"/>
  <sheetViews>
    <sheetView showGridLines="0" zoomScaleNormal="100" workbookViewId="0"/>
  </sheetViews>
  <sheetFormatPr defaultRowHeight="12.75" x14ac:dyDescent="0.2"/>
  <cols>
    <col min="1" max="1" width="0.83203125" customWidth="1"/>
    <col min="2" max="2" width="3.83203125" bestFit="1" customWidth="1"/>
    <col min="3" max="3" width="8" bestFit="1" customWidth="1"/>
    <col min="4" max="4" width="24.5" customWidth="1"/>
    <col min="5" max="5" width="122.1640625" customWidth="1"/>
    <col min="6" max="6" width="21.33203125" customWidth="1"/>
    <col min="7" max="7" width="39.33203125" style="44" bestFit="1" customWidth="1"/>
    <col min="8" max="8" width="1.83203125" customWidth="1"/>
    <col min="9" max="9" width="1" customWidth="1"/>
    <col min="10" max="10" width="0" hidden="1" customWidth="1"/>
  </cols>
  <sheetData>
    <row r="1" spans="2:10" ht="3.75" customHeight="1" thickBot="1" x14ac:dyDescent="0.25"/>
    <row r="2" spans="2:10" ht="4.5" customHeight="1" x14ac:dyDescent="0.2">
      <c r="B2" s="136"/>
      <c r="C2" s="137"/>
      <c r="D2" s="137"/>
      <c r="E2" s="137"/>
      <c r="F2" s="137"/>
      <c r="G2" s="138"/>
      <c r="H2" s="139"/>
    </row>
    <row r="3" spans="2:10" ht="20.25" x14ac:dyDescent="0.2">
      <c r="B3" s="134"/>
      <c r="C3" s="265" t="s">
        <v>6</v>
      </c>
      <c r="D3" s="259"/>
      <c r="E3" s="135"/>
      <c r="F3" s="135"/>
      <c r="G3" s="135"/>
      <c r="H3" s="57"/>
    </row>
    <row r="4" spans="2:10" ht="32.25" customHeight="1" x14ac:dyDescent="0.25">
      <c r="B4" s="134"/>
      <c r="C4" s="58" t="s">
        <v>13</v>
      </c>
      <c r="D4" s="58" t="s">
        <v>14</v>
      </c>
      <c r="E4" s="59" t="s">
        <v>28</v>
      </c>
      <c r="F4" s="59" t="s">
        <v>29</v>
      </c>
      <c r="G4" s="58" t="s">
        <v>21</v>
      </c>
      <c r="H4" s="57"/>
    </row>
    <row r="5" spans="2:10" hidden="1" x14ac:dyDescent="0.2">
      <c r="B5" s="62">
        <f>ROW(B5)-TableRowShift()</f>
        <v>0</v>
      </c>
      <c r="C5" s="123"/>
      <c r="D5" s="187"/>
      <c r="E5" s="188"/>
      <c r="F5" s="187"/>
      <c r="G5" s="124" t="str">
        <f>ListAssociatedElements($C5,'Data Movements'!DataGroup,'Data Movements'!Name)</f>
        <v/>
      </c>
      <c r="H5" s="57"/>
      <c r="J5" t="s">
        <v>34</v>
      </c>
    </row>
    <row r="6" spans="2:10" x14ac:dyDescent="0.2">
      <c r="B6" s="62">
        <f>ROW(B6)-TableRowShift()</f>
        <v>1</v>
      </c>
      <c r="C6" s="217" t="s">
        <v>34</v>
      </c>
      <c r="D6" s="193" t="s">
        <v>61</v>
      </c>
      <c r="E6" s="218" t="s">
        <v>76</v>
      </c>
      <c r="F6" s="193" t="s">
        <v>91</v>
      </c>
      <c r="G6" s="219" t="str">
        <f>ListAssociatedElements($C6,'Data Movements'!DataGroup,'Data Movements'!Name)</f>
        <v>W001, R001, E002, X001, E005, E014, R010, W009</v>
      </c>
      <c r="H6" s="57"/>
      <c r="J6" t="s">
        <v>95</v>
      </c>
    </row>
    <row r="7" spans="2:10" x14ac:dyDescent="0.2">
      <c r="B7" s="62">
        <f>ROW(B7)-TableRowShift()</f>
        <v>2</v>
      </c>
      <c r="C7" s="217" t="s">
        <v>95</v>
      </c>
      <c r="D7" s="193" t="s">
        <v>62</v>
      </c>
      <c r="E7" s="218" t="s">
        <v>77</v>
      </c>
      <c r="F7" s="193" t="s">
        <v>92</v>
      </c>
      <c r="G7" s="219" t="str">
        <f>ListAssociatedElements($C7,'Data Movements'!DataGroup,'Data Movements'!Name)</f>
        <v>E004, X003, X004</v>
      </c>
      <c r="H7" s="57"/>
      <c r="J7" t="s">
        <v>96</v>
      </c>
    </row>
    <row r="8" spans="2:10" x14ac:dyDescent="0.2">
      <c r="B8" s="62">
        <f>ROW(B8)-TableRowShift()</f>
        <v>3</v>
      </c>
      <c r="C8" s="217" t="s">
        <v>96</v>
      </c>
      <c r="D8" s="193" t="s">
        <v>63</v>
      </c>
      <c r="E8" s="218" t="s">
        <v>78</v>
      </c>
      <c r="F8" s="193" t="s">
        <v>91</v>
      </c>
      <c r="G8" s="219" t="str">
        <f>ListAssociatedElements($C8,'Data Movements'!DataGroup,'Data Movements'!Name)</f>
        <v>E003, R013</v>
      </c>
      <c r="H8" s="57"/>
      <c r="J8" t="s">
        <v>97</v>
      </c>
    </row>
    <row r="9" spans="2:10" x14ac:dyDescent="0.2">
      <c r="B9" s="62">
        <f>ROW(B9)-TableRowShift()</f>
        <v>4</v>
      </c>
      <c r="C9" s="217" t="s">
        <v>97</v>
      </c>
      <c r="D9" s="193" t="s">
        <v>64</v>
      </c>
      <c r="E9" s="218" t="s">
        <v>79</v>
      </c>
      <c r="F9" s="193" t="s">
        <v>91</v>
      </c>
      <c r="G9" s="219" t="str">
        <f>ListAssociatedElements($C9,'Data Movements'!DataGroup,'Data Movements'!Name)</f>
        <v>E001</v>
      </c>
      <c r="H9" s="57"/>
      <c r="J9" t="s">
        <v>98</v>
      </c>
    </row>
    <row r="10" spans="2:10" x14ac:dyDescent="0.2">
      <c r="B10" s="62">
        <f>ROW(B10)-TableRowShift()</f>
        <v>5</v>
      </c>
      <c r="C10" s="217" t="s">
        <v>98</v>
      </c>
      <c r="D10" s="193" t="s">
        <v>65</v>
      </c>
      <c r="E10" s="218" t="s">
        <v>80</v>
      </c>
      <c r="F10" s="193" t="s">
        <v>91</v>
      </c>
      <c r="G10" s="219" t="str">
        <f>ListAssociatedElements($C10,'Data Movements'!DataGroup,'Data Movements'!Name)</f>
        <v>E006, W002, R002, X005, E010, X017</v>
      </c>
      <c r="H10" s="57"/>
      <c r="J10" t="s">
        <v>99</v>
      </c>
    </row>
    <row r="11" spans="2:10" x14ac:dyDescent="0.2">
      <c r="B11" s="62">
        <f>ROW(B11)-TableRowShift()</f>
        <v>6</v>
      </c>
      <c r="C11" s="217" t="s">
        <v>99</v>
      </c>
      <c r="D11" s="193" t="s">
        <v>66</v>
      </c>
      <c r="E11" s="218" t="s">
        <v>81</v>
      </c>
      <c r="F11" s="193" t="s">
        <v>92</v>
      </c>
      <c r="G11" s="219" t="str">
        <f>ListAssociatedElements($C11,'Data Movements'!DataGroup,'Data Movements'!Name)</f>
        <v>E007, W003, R003, E008, X006</v>
      </c>
      <c r="H11" s="57"/>
      <c r="J11" t="s">
        <v>100</v>
      </c>
    </row>
    <row r="12" spans="2:10" x14ac:dyDescent="0.2">
      <c r="B12" s="62">
        <f>ROW(B12)-TableRowShift()</f>
        <v>7</v>
      </c>
      <c r="C12" s="217" t="s">
        <v>100</v>
      </c>
      <c r="D12" s="193" t="s">
        <v>67</v>
      </c>
      <c r="E12" s="218" t="s">
        <v>82</v>
      </c>
      <c r="F12" s="193" t="s">
        <v>93</v>
      </c>
      <c r="G12" s="219" t="str">
        <f>ListAssociatedElements($C12,'Data Movements'!DataGroup,'Data Movements'!Name)</f>
        <v>W004</v>
      </c>
      <c r="H12" s="57"/>
      <c r="J12" t="s">
        <v>101</v>
      </c>
    </row>
    <row r="13" spans="2:10" x14ac:dyDescent="0.2">
      <c r="B13" s="62">
        <f>ROW(B13)-TableRowShift()</f>
        <v>8</v>
      </c>
      <c r="C13" s="217" t="s">
        <v>101</v>
      </c>
      <c r="D13" s="193" t="s">
        <v>68</v>
      </c>
      <c r="E13" s="218" t="s">
        <v>83</v>
      </c>
      <c r="F13" s="193" t="s">
        <v>93</v>
      </c>
      <c r="G13" s="219" t="str">
        <f>ListAssociatedElements($C13,'Data Movements'!DataGroup,'Data Movements'!Name)</f>
        <v>E009, W005, R004, X007, R006, R011, E015</v>
      </c>
      <c r="H13" s="57"/>
      <c r="J13" t="s">
        <v>102</v>
      </c>
    </row>
    <row r="14" spans="2:10" x14ac:dyDescent="0.2">
      <c r="B14" s="62">
        <f>ROW(B14)-TableRowShift()</f>
        <v>9</v>
      </c>
      <c r="C14" s="217" t="s">
        <v>102</v>
      </c>
      <c r="D14" s="193" t="s">
        <v>69</v>
      </c>
      <c r="E14" s="218" t="s">
        <v>84</v>
      </c>
      <c r="F14" s="193" t="s">
        <v>92</v>
      </c>
      <c r="G14" s="219" t="str">
        <f>ListAssociatedElements($C14,'Data Movements'!DataGroup,'Data Movements'!Name)</f>
        <v>X008, E011, E012, W006</v>
      </c>
      <c r="H14" s="57"/>
      <c r="J14" t="s">
        <v>103</v>
      </c>
    </row>
    <row r="15" spans="2:10" x14ac:dyDescent="0.2">
      <c r="B15" s="62">
        <f>ROW(B15)-TableRowShift()</f>
        <v>10</v>
      </c>
      <c r="C15" s="217" t="s">
        <v>103</v>
      </c>
      <c r="D15" s="193" t="s">
        <v>70</v>
      </c>
      <c r="E15" s="218" t="s">
        <v>85</v>
      </c>
      <c r="F15" s="193" t="s">
        <v>92</v>
      </c>
      <c r="G15" s="219" t="str">
        <f>ListAssociatedElements($C15,'Data Movements'!DataGroup,'Data Movements'!Name)</f>
        <v>R007, X009, E013, W007, R012, W008</v>
      </c>
      <c r="H15" s="57"/>
      <c r="J15" t="s">
        <v>104</v>
      </c>
    </row>
    <row r="16" spans="2:10" x14ac:dyDescent="0.2">
      <c r="B16" s="62">
        <f>ROW(B16)-TableRowShift()</f>
        <v>11</v>
      </c>
      <c r="C16" s="217" t="s">
        <v>104</v>
      </c>
      <c r="D16" s="193" t="s">
        <v>71</v>
      </c>
      <c r="E16" s="218" t="s">
        <v>86</v>
      </c>
      <c r="F16" s="193" t="s">
        <v>93</v>
      </c>
      <c r="G16" s="219" t="str">
        <f>ListAssociatedElements($C16,'Data Movements'!DataGroup,'Data Movements'!Name)</f>
        <v>R008, R009, E021</v>
      </c>
      <c r="H16" s="57"/>
      <c r="J16" t="s">
        <v>105</v>
      </c>
    </row>
    <row r="17" spans="2:10" x14ac:dyDescent="0.2">
      <c r="B17" s="62">
        <f>ROW(B17)-TableRowShift()</f>
        <v>12</v>
      </c>
      <c r="C17" s="217" t="s">
        <v>105</v>
      </c>
      <c r="D17" s="193" t="s">
        <v>72</v>
      </c>
      <c r="E17" s="218" t="s">
        <v>87</v>
      </c>
      <c r="F17" s="193" t="s">
        <v>94</v>
      </c>
      <c r="G17" s="219" t="str">
        <f>ListAssociatedElements($C17,'Data Movements'!DataGroup,'Data Movements'!Name)</f>
        <v>X010, X011, E016, E017, X014, E019, E020</v>
      </c>
      <c r="H17" s="57"/>
      <c r="J17" t="s">
        <v>106</v>
      </c>
    </row>
    <row r="18" spans="2:10" x14ac:dyDescent="0.2">
      <c r="B18" s="62">
        <f>ROW(B18)-TableRowShift()</f>
        <v>13</v>
      </c>
      <c r="C18" s="217" t="s">
        <v>106</v>
      </c>
      <c r="D18" s="193" t="s">
        <v>73</v>
      </c>
      <c r="E18" s="218" t="s">
        <v>88</v>
      </c>
      <c r="F18" s="193" t="s">
        <v>94</v>
      </c>
      <c r="G18" s="219" t="str">
        <f>ListAssociatedElements($C18,'Data Movements'!DataGroup,'Data Movements'!Name)</f>
        <v>X012, X013, E018, X015</v>
      </c>
      <c r="H18" s="57"/>
      <c r="J18" t="s">
        <v>107</v>
      </c>
    </row>
    <row r="19" spans="2:10" x14ac:dyDescent="0.2">
      <c r="B19" s="62">
        <f>ROW(B19)-TableRowShift()</f>
        <v>14</v>
      </c>
      <c r="C19" s="217" t="s">
        <v>107</v>
      </c>
      <c r="D19" s="193" t="s">
        <v>74</v>
      </c>
      <c r="E19" s="218" t="s">
        <v>89</v>
      </c>
      <c r="F19" s="193" t="s">
        <v>93</v>
      </c>
      <c r="G19" s="219" t="str">
        <f>ListAssociatedElements($C19,'Data Movements'!DataGroup,'Data Movements'!Name)</f>
        <v>R005, X016</v>
      </c>
      <c r="H19" s="57"/>
      <c r="J19" t="s">
        <v>108</v>
      </c>
    </row>
    <row r="20" spans="2:10" x14ac:dyDescent="0.2">
      <c r="B20" s="62">
        <f>ROW(B20)-TableRowShift()</f>
        <v>15</v>
      </c>
      <c r="C20" s="217" t="s">
        <v>108</v>
      </c>
      <c r="D20" s="193" t="s">
        <v>75</v>
      </c>
      <c r="E20" s="218" t="s">
        <v>90</v>
      </c>
      <c r="F20" s="193" t="s">
        <v>92</v>
      </c>
      <c r="G20" s="219" t="str">
        <f>ListAssociatedElements($C20,'Data Movements'!DataGroup,'Data Movements'!Name)</f>
        <v>X002</v>
      </c>
      <c r="H20" s="57"/>
    </row>
    <row r="21" spans="2:10" hidden="1" x14ac:dyDescent="0.2">
      <c r="B21" s="63"/>
      <c r="C21" s="125"/>
      <c r="D21" s="189"/>
      <c r="E21" s="190"/>
      <c r="F21" s="189"/>
      <c r="G21" s="126"/>
      <c r="H21" s="57"/>
    </row>
    <row r="22" spans="2:10" ht="24" customHeight="1" thickBot="1" x14ac:dyDescent="0.25">
      <c r="B22" s="56"/>
      <c r="C22" s="60"/>
      <c r="D22" s="60"/>
      <c r="E22" s="60"/>
      <c r="F22" s="60"/>
      <c r="G22" s="70"/>
      <c r="H22" s="61"/>
    </row>
  </sheetData>
  <sheetProtection sheet="1" objects="1" scenarios="1" selectLockedCells="1"/>
  <mergeCells count="1">
    <mergeCell ref="C3:D3"/>
  </mergeCells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ingSheet"/>
  <dimension ref="A1"/>
  <sheetViews>
    <sheetView showGridLines="0" showRowColHeaders="0" tabSelected="1" zoomScale="80" zoomScaleNormal="80" workbookViewId="0">
      <pane ySplit="3" topLeftCell="A4" activePane="bottomLeft" state="frozen"/>
      <selection pane="bottomLeft" activeCell="N63" sqref="N63"/>
    </sheetView>
  </sheetViews>
  <sheetFormatPr defaultColWidth="22.33203125" defaultRowHeight="25.5" customHeight="1" x14ac:dyDescent="0.2"/>
  <cols>
    <col min="1" max="1668" width="22.33203125" style="1" customWidth="1"/>
    <col min="1669" max="16384" width="22.33203125" style="1"/>
  </cols>
  <sheetData/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Sheet"/>
  <dimension ref="L2:R28"/>
  <sheetViews>
    <sheetView showGridLines="0" zoomScaleNormal="100" workbookViewId="0">
      <selection activeCell="L27" sqref="L27"/>
    </sheetView>
  </sheetViews>
  <sheetFormatPr defaultRowHeight="12.75" x14ac:dyDescent="0.2"/>
  <cols>
    <col min="1" max="1" width="2" customWidth="1"/>
    <col min="13" max="13" width="4.1640625" customWidth="1"/>
    <col min="14" max="14" width="44.83203125" customWidth="1"/>
  </cols>
  <sheetData>
    <row r="2" spans="12:13" x14ac:dyDescent="0.2">
      <c r="L2" s="64"/>
      <c r="M2" s="64"/>
    </row>
    <row r="26" spans="12:18" x14ac:dyDescent="0.2">
      <c r="L26" s="64" t="s">
        <v>36</v>
      </c>
      <c r="M26" s="64"/>
      <c r="P26" s="64"/>
      <c r="Q26" s="64"/>
      <c r="R26" s="64" t="s">
        <v>55</v>
      </c>
    </row>
    <row r="27" spans="12:18" ht="20.25" customHeight="1" x14ac:dyDescent="0.2">
      <c r="L27" s="65" t="b">
        <v>1</v>
      </c>
      <c r="M27" s="71"/>
      <c r="N27" s="66" t="s">
        <v>35</v>
      </c>
    </row>
    <row r="28" spans="12:18" ht="20.25" customHeight="1" x14ac:dyDescent="0.2">
      <c r="L28" s="67" t="b">
        <v>1</v>
      </c>
      <c r="M28" s="72"/>
      <c r="N28" s="68" t="s">
        <v>37</v>
      </c>
    </row>
  </sheetData>
  <sheetProtection sheet="1" objects="1" scenarios="1" selectLockedCells="1"/>
  <conditionalFormatting sqref="L27:M28">
    <cfRule type="cellIs" dxfId="1" priority="1" stopIfTrue="1" operator="equal">
      <formula>TRUE</formula>
    </cfRule>
    <cfRule type="cellIs" dxfId="0" priority="2" stopIfTrue="1" operator="equal">
      <formula>FALSE</formula>
    </cfRule>
  </conditionalFormatting>
  <dataValidations count="1">
    <dataValidation type="list" allowBlank="1" showErrorMessage="1" errorTitle="Yes or No" error="No in-between!" sqref="L27:L2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68</vt:i4>
      </vt:variant>
    </vt:vector>
  </HeadingPairs>
  <TitlesOfParts>
    <vt:vector size="77" baseType="lpstr">
      <vt:lpstr>Layer Identification</vt:lpstr>
      <vt:lpstr>Application Boundary</vt:lpstr>
      <vt:lpstr>User Stories</vt:lpstr>
      <vt:lpstr>Objects Of Interest</vt:lpstr>
      <vt:lpstr>Trigger Events</vt:lpstr>
      <vt:lpstr>Data Movements</vt:lpstr>
      <vt:lpstr>Data Groups</vt:lpstr>
      <vt:lpstr>Counting Sheet</vt:lpstr>
      <vt:lpstr>How to Use</vt:lpstr>
      <vt:lpstr>'Application Boundary'!BoundaryOverview</vt:lpstr>
      <vt:lpstr>'Data Movements'!CFP</vt:lpstr>
      <vt:lpstr>'Data Movements'!CFP_E</vt:lpstr>
      <vt:lpstr>'Data Movements'!CFP_Flag</vt:lpstr>
      <vt:lpstr>'Data Movements'!CFP_Movs</vt:lpstr>
      <vt:lpstr>'Data Movements'!CFP_R</vt:lpstr>
      <vt:lpstr>'Data Movements'!CFP_Tags</vt:lpstr>
      <vt:lpstr>'Data Movements'!CFP_W</vt:lpstr>
      <vt:lpstr>'Data Movements'!CFP_X</vt:lpstr>
      <vt:lpstr>'Data Movements'!Check1</vt:lpstr>
      <vt:lpstr>'Data Movements'!Check2</vt:lpstr>
      <vt:lpstr>'Data Movements'!Check3</vt:lpstr>
      <vt:lpstr>'Data Movements'!Check4</vt:lpstr>
      <vt:lpstr>'How to Use'!CheckDataGroups</vt:lpstr>
      <vt:lpstr>'How to Use'!CheckTriggers</vt:lpstr>
      <vt:lpstr>'Data Movements'!CosmicChecks</vt:lpstr>
      <vt:lpstr>'Data Movements'!DataGroup</vt:lpstr>
      <vt:lpstr>DataGroups_ValidationList</vt:lpstr>
      <vt:lpstr>'Data Groups'!DataIndex</vt:lpstr>
      <vt:lpstr>'Data Movements'!DataIndex</vt:lpstr>
      <vt:lpstr>'Objects Of Interest'!DataIndex</vt:lpstr>
      <vt:lpstr>'Trigger Events'!DataIndex</vt:lpstr>
      <vt:lpstr>'User Stories'!DataIndex</vt:lpstr>
      <vt:lpstr>'Data Groups'!DataMovements</vt:lpstr>
      <vt:lpstr>DataMovements_ValidationList</vt:lpstr>
      <vt:lpstr>'Data Groups'!DataOwner</vt:lpstr>
      <vt:lpstr>'Data Groups'!Description</vt:lpstr>
      <vt:lpstr>'Data Movements'!Description</vt:lpstr>
      <vt:lpstr>'Objects Of Interest'!Description</vt:lpstr>
      <vt:lpstr>'Trigger Events'!Description</vt:lpstr>
      <vt:lpstr>'Data Movements'!Direction</vt:lpstr>
      <vt:lpstr>E_ValidationList</vt:lpstr>
      <vt:lpstr>'User Stories'!EntryMovements</vt:lpstr>
      <vt:lpstr>'Data Groups'!FormulaStore</vt:lpstr>
      <vt:lpstr>'Data Movements'!FormulaStore</vt:lpstr>
      <vt:lpstr>'Layer Identification'!FormulaStore</vt:lpstr>
      <vt:lpstr>'Objects Of Interest'!FormulaStore</vt:lpstr>
      <vt:lpstr>'Trigger Events'!FormulaStore</vt:lpstr>
      <vt:lpstr>'User Stories'!FormulaStore</vt:lpstr>
      <vt:lpstr>'Data Movements'!FunctionalProcess</vt:lpstr>
      <vt:lpstr>'Trigger Events'!FunctionalProcess</vt:lpstr>
      <vt:lpstr>FunctionalProcess_ValidationList</vt:lpstr>
      <vt:lpstr>'Trigger Events'!FunctionalUser</vt:lpstr>
      <vt:lpstr>'User Stories'!GrantRuleFURs</vt:lpstr>
      <vt:lpstr>'Data Groups'!Label</vt:lpstr>
      <vt:lpstr>'Data Movements'!Label</vt:lpstr>
      <vt:lpstr>'Objects Of Interest'!Label</vt:lpstr>
      <vt:lpstr>'Trigger Events'!Label</vt:lpstr>
      <vt:lpstr>'User Stories'!Label</vt:lpstr>
      <vt:lpstr>'Data Groups'!LastIndex</vt:lpstr>
      <vt:lpstr>'Data Movements'!LastIndex</vt:lpstr>
      <vt:lpstr>'Layer Identification'!LastIndex</vt:lpstr>
      <vt:lpstr>'Objects Of Interest'!LastIndex</vt:lpstr>
      <vt:lpstr>'Trigger Events'!LastIndex</vt:lpstr>
      <vt:lpstr>'User Stories'!LastIndex</vt:lpstr>
      <vt:lpstr>'Objects Of Interest'!Link</vt:lpstr>
      <vt:lpstr>'Data Groups'!Name</vt:lpstr>
      <vt:lpstr>'Data Movements'!Name</vt:lpstr>
      <vt:lpstr>'Objects Of Interest'!Name</vt:lpstr>
      <vt:lpstr>'Trigger Events'!Name</vt:lpstr>
      <vt:lpstr>'User Stories'!Name</vt:lpstr>
      <vt:lpstr>'Data Movements'!ObjectReference</vt:lpstr>
      <vt:lpstr>ObjectReference_ValidationList</vt:lpstr>
      <vt:lpstr>SequenceDiagram</vt:lpstr>
      <vt:lpstr>'Data Movements'!TriggerPosition</vt:lpstr>
      <vt:lpstr>'Trigger Events'!TriggerPosition</vt:lpstr>
      <vt:lpstr>'Objects Of Interest'!Type</vt:lpstr>
      <vt:lpstr>'Data Movements'!Unique</vt:lpstr>
    </vt:vector>
  </TitlesOfParts>
  <Company>Euro Project 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COSMIC Counting</dc:title>
  <dc:subject>V2.4 - 11-Jan-2015</dc:subject>
  <dc:creator>Thomas Fehlmann</dc:creator>
  <cp:keywords>COSMIC</cp:keywords>
  <dc:description>V2.4 - 11-Jan-2015</dc:description>
  <cp:lastModifiedBy>Thomas Fehlmann</cp:lastModifiedBy>
  <cp:revision>1</cp:revision>
  <dcterms:created xsi:type="dcterms:W3CDTF">2006-09-01T04:28:47Z</dcterms:created>
  <dcterms:modified xsi:type="dcterms:W3CDTF">2016-03-02T15:12:33Z</dcterms:modified>
  <cp:category>Counting Tool;QFD Toolset</cp:category>
  <cp:contentStatus>V2.4 - 11-Jan-2015</cp:contentStatus>
  <cp:version>V2.1 - 19-Apr-2014</cp:version>
</cp:coreProperties>
</file>