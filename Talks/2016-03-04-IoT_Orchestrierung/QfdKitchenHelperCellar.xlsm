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uro Project Office\Projects\swissICT\SwiSMA\Meetings\2016-03-04 10th Meeting\"/>
    </mc:Choice>
  </mc:AlternateContent>
  <bookViews>
    <workbookView xWindow="-15" yWindow="6465" windowWidth="20235" windowHeight="2010" tabRatio="753" activeTab="3"/>
  </bookViews>
  <sheets>
    <sheet name="Goal Interface" sheetId="6" r:id="rId1"/>
    <sheet name="Size Interface" sheetId="7" r:id="rId2"/>
    <sheet name="Size Interface BW" sheetId="32" state="hidden" r:id="rId3"/>
    <sheet name="FURs Measured" sheetId="24" r:id="rId4"/>
    <sheet name="FUR Combinator" sheetId="25" r:id="rId5"/>
    <sheet name="FUR Combinator sorted" sheetId="26" state="hidden" r:id="rId6"/>
    <sheet name="FUR Combinator BW" sheetId="27" state="hidden" r:id="rId7"/>
    <sheet name="Data Movements" sheetId="11" r:id="rId8"/>
    <sheet name="Counting Sheet" sheetId="12" r:id="rId9"/>
    <sheet name="Translation" sheetId="5" state="hidden" r:id="rId10"/>
  </sheets>
  <functionGroups builtInGroupCount="18"/>
  <definedNames>
    <definedName name="_after_Introduction" localSheetId="9">Translation!$A$10</definedName>
    <definedName name="_and_" localSheetId="9">Translation!$A$15</definedName>
    <definedName name="_for_" localSheetId="9">Translation!$A$14</definedName>
    <definedName name="_of_" localSheetId="9">Translation!$A$13</definedName>
    <definedName name="_Strength" localSheetId="9">Translation!$A$92</definedName>
    <definedName name="Acceptance_Test_Methods" localSheetId="9">Translation!$A$108</definedName>
    <definedName name="Account_Managers_Opinion" localSheetId="9">Translation!$A$116</definedName>
    <definedName name="Achieved_Profile" localSheetId="9">Translation!$A$74</definedName>
    <definedName name="Achieved_Profile_of_" localSheetId="9">Translation!$A$73</definedName>
    <definedName name="ActionOutcome" localSheetId="9">Translation!$A$126:$A$130</definedName>
    <definedName name="ActionOutcome">Translation!$A$126:$A$130</definedName>
    <definedName name="Actual_" localSheetId="9">Translation!$A$44</definedName>
    <definedName name="Actual_Average_CMM_Level" localSheetId="9">Translation!$A$84</definedName>
    <definedName name="Actual_Effect_Profile" localSheetId="9">Translation!$A$74</definedName>
    <definedName name="Actual_Effect_Profile_of_" localSheetId="9">Translation!$A$73</definedName>
    <definedName name="Advantage" localSheetId="9">Translation!$A$46</definedName>
    <definedName name="AHP_Analyse" localSheetId="9">Translation!$A$116</definedName>
    <definedName name="AHP_Priorities" localSheetId="9">Translation!$A$117</definedName>
    <definedName name="AHP_Summary" localSheetId="9">Translation!$A$179</definedName>
    <definedName name="Application_Test_Methods" localSheetId="9">Translation!$A$106</definedName>
    <definedName name="Approved" localSheetId="9">Translation!$A$203</definedName>
    <definedName name="As_a" localSheetId="9">Translation!$A$207</definedName>
    <definedName name="Attributes" localSheetId="3">'FURs Measured'!$E$4:$J$12</definedName>
    <definedName name="Attributes" localSheetId="0">'Goal Interface'!$G$4:$H$10</definedName>
    <definedName name="Attributes" localSheetId="1">'Size Interface'!$G$4:$J$12</definedName>
    <definedName name="Attributes" localSheetId="2">'Size Interface BW'!$G$4:$J$12</definedName>
    <definedName name="Attributes" localSheetId="9">Translation!$A$6</definedName>
    <definedName name="Average_Refactoring_Count" localSheetId="9">Translation!$A$233</definedName>
    <definedName name="Average_Sprint_Duration" localSheetId="9">Translation!$A$245</definedName>
    <definedName name="Best_Approximation" localSheetId="9">Translation!$A$23</definedName>
    <definedName name="Better_than_Competition" localSheetId="9">Translation!$A$48</definedName>
    <definedName name="BottomRight" localSheetId="4">'FUR Combinator'!$R$17</definedName>
    <definedName name="BottomRight" localSheetId="5">'FUR Combinator sorted'!$R$18</definedName>
    <definedName name="Bug_Profile" localSheetId="9">Translation!$A$101</definedName>
    <definedName name="Bugs_found" localSheetId="9">Translation!$A$99</definedName>
    <definedName name="Bugs_per_CFP" localSheetId="9">Translation!$A$100</definedName>
    <definedName name="Bugs_per_FP" localSheetId="9">Translation!$A$100</definedName>
    <definedName name="Business_Drivers" localSheetId="9">Translation!$A$4</definedName>
    <definedName name="Business_Impact" localSheetId="9">Translation!$A$228</definedName>
    <definedName name="Business_Scenarios" localSheetId="9">Translation!$A$88</definedName>
    <definedName name="Call_back_Customer_enthusiastic" localSheetId="9">Translation!$A$126</definedName>
    <definedName name="Call_back_Customer_happy" localSheetId="9">Translation!$A$127</definedName>
    <definedName name="Call_back_Customer_satisfied" localSheetId="9">Translation!$A$128</definedName>
    <definedName name="Call_back_Escalation_done" localSheetId="9">Translation!$A$129</definedName>
    <definedName name="CFP" localSheetId="7">'Data Movements'!$I$68</definedName>
    <definedName name="CFP_E" localSheetId="7">'Data Movements'!$I$67</definedName>
    <definedName name="CFP_Flag" localSheetId="7">'Data Movements'!$I$5:$L$66</definedName>
    <definedName name="CFP_Movs" localSheetId="7">'Data Movements'!$I$67:$L$67</definedName>
    <definedName name="CFP_R" localSheetId="7">'Data Movements'!$K$67</definedName>
    <definedName name="CFP_Tags" localSheetId="7">'Data Movements'!$I$4:$L$4</definedName>
    <definedName name="CFP_W" localSheetId="7">'Data Movements'!$L$67</definedName>
    <definedName name="CFP_X" localSheetId="7">'Data Movements'!$J$67</definedName>
    <definedName name="Combined_from_NPS_Survey" localSheetId="9">Translation!$A$170</definedName>
    <definedName name="Combined_Profile" localSheetId="9">Translation!$A$69</definedName>
    <definedName name="Competition_Average_Raw_Weight" localSheetId="9">Translation!$A$51</definedName>
    <definedName name="Competitions_Achievement_Profile" localSheetId="9">Translation!$A$53</definedName>
    <definedName name="Competitive_Disadvantage" localSheetId="9">Translation!$A$49</definedName>
    <definedName name="Competitive_Positioning" localSheetId="9">Translation!$A$43</definedName>
    <definedName name="Competitive_Solution_Yellow" localSheetId="9">Translation!$A$61</definedName>
    <definedName name="Complaints_Wishes" localSheetId="9">Translation!$A$27</definedName>
    <definedName name="Completed" localSheetId="9">Translation!$A$221</definedName>
    <definedName name="Completion_Rate" localSheetId="9">Translation!$A$215</definedName>
    <definedName name="Completion_velocity_per_workday" localSheetId="9">Translation!$A$224</definedName>
    <definedName name="Completion_Weights" localSheetId="9">Translation!$A$216</definedName>
    <definedName name="Confidence_Interval" localSheetId="9">Translation!$A$21</definedName>
    <definedName name="ConfidenceInterval" localSheetId="4">'FUR Combinator'!$P$15</definedName>
    <definedName name="ConfidenceInterval" localSheetId="5">'FUR Combinator'!$P$15</definedName>
    <definedName name="Confirmed" localSheetId="9">Translation!$A$137</definedName>
    <definedName name="ControlsGraphArea" localSheetId="4">'FUR Combinator'!$E$13:$L$16</definedName>
    <definedName name="ControlsGraphArea" localSheetId="6">'FUR Combinator BW'!$E$13:$L$16</definedName>
    <definedName name="ControlsGraphArea" localSheetId="5">'FUR Combinator sorted'!$E$13:$L$16</definedName>
    <definedName name="Convergence_Factor" localSheetId="9">Translation!$A$18</definedName>
    <definedName name="Convergence_Gap" localSheetId="9">Translation!$A$18</definedName>
    <definedName name="Convergence_Limit" localSheetId="9">Translation!$A$20</definedName>
    <definedName name="Convergence_Limit_" localSheetId="9">Translation!$A$20</definedName>
    <definedName name="Convergence_Range" localSheetId="9">Translation!$A$19</definedName>
    <definedName name="ConvergenceFactor" localSheetId="4">'FUR Combinator'!$P$13</definedName>
    <definedName name="ConvergenceFactor" localSheetId="6">'FUR Combinator BW'!$P$13</definedName>
    <definedName name="ConvergenceFactor" localSheetId="5">'FUR Combinator sorted'!$P$13</definedName>
    <definedName name="ConvergenceLimit" localSheetId="4">'FUR Combinator'!$B$15</definedName>
    <definedName name="ConvergenceLimit" localSheetId="5">'FUR Combinator sorted'!$B$15</definedName>
    <definedName name="ConvergenceRange" localSheetId="4">'FUR Combinator'!$B$14</definedName>
    <definedName name="ConvergenceRange" localSheetId="5">'FUR Combinator sorted'!$B$14</definedName>
    <definedName name="Cost" localSheetId="9">Translation!$A$111</definedName>
    <definedName name="Cost_Prediction" localSheetId="9">Translation!$A$227</definedName>
    <definedName name="Cost_Profile" localSheetId="9">Translation!$A$113</definedName>
    <definedName name="Count" localSheetId="9">Translation!$A$25</definedName>
    <definedName name="Critical_To_Quality" localSheetId="9">Translation!$A$70</definedName>
    <definedName name="Current_Status" localSheetId="9">Translation!$A$173</definedName>
    <definedName name="Customer_Questionnaire" localSheetId="9">Translation!$A$30</definedName>
    <definedName name="Customer_Segments" localSheetId="9">Translation!$A$8</definedName>
    <definedName name="Customers_Needs" localSheetId="9">Translation!$A$3</definedName>
    <definedName name="Data_Movement" localSheetId="9">Translation!$A$195</definedName>
    <definedName name="Data_Movements_Affected" localSheetId="9">Translation!$A$160</definedName>
    <definedName name="Data_Movements_Covered_by_Test_Cases" localSheetId="9">Translation!$A$162</definedName>
    <definedName name="Data_Movements_in_Total" localSheetId="9">Translation!$A$161</definedName>
    <definedName name="DataIndex" localSheetId="7">'Data Movements'!$B$5:$B$66</definedName>
    <definedName name="DataMovements_ValidationList">'Data Movements'!$O$5:$O$64</definedName>
    <definedName name="Defect_Class" localSheetId="9">Translation!$A$148</definedName>
    <definedName name="Defect_Count" localSheetId="9">Translation!$A$150</definedName>
    <definedName name="Defect_Density" localSheetId="9">Translation!$A$151</definedName>
    <definedName name="Defect_Identification" localSheetId="9">Translation!$A$146</definedName>
    <definedName name="Defect_Profile" localSheetId="9">Translation!$A$101</definedName>
    <definedName name="Defect_Recording" localSheetId="9">Translation!$A$147</definedName>
    <definedName name="Defect_Resolution" localSheetId="9">Translation!$A$152</definedName>
    <definedName name="Defect_Status" localSheetId="9">Translation!$A$149</definedName>
    <definedName name="Defects_found" localSheetId="9">Translation!$A$99</definedName>
    <definedName name="Defects_Found_in_Total" localSheetId="9">Translation!$A$158</definedName>
    <definedName name="Defects_Found_Removed" localSheetId="9">Translation!$A$158</definedName>
    <definedName name="Defects_Observed" localSheetId="9">Translation!$A$157</definedName>
    <definedName name="Defects_Pending_for_Removal" localSheetId="9">Translation!$A$159</definedName>
    <definedName name="Defects_per_CFP" localSheetId="9">Translation!$A$100</definedName>
    <definedName name="Deferred" localSheetId="9">Translation!$A$139</definedName>
    <definedName name="dependent_from_Function_Points" localSheetId="9">Translation!$A$112</definedName>
    <definedName name="Deployment_Combinator" localSheetId="9">Translation!$A$71</definedName>
    <definedName name="Description" localSheetId="7">'Data Movements'!$E$5:$E$66</definedName>
    <definedName name="Description" localSheetId="9">Translation!$A$145</definedName>
    <definedName name="Detected_Defects" localSheetId="9">Translation!$A$156</definedName>
    <definedName name="Detecting_Defect" localSheetId="9">Translation!$A$156</definedName>
    <definedName name="Detecting_Defects" localSheetId="9">Translation!$A$156</definedName>
    <definedName name="Detecting_Fault" localSheetId="9">Translation!$A$156</definedName>
    <definedName name="Developer" localSheetId="9">Translation!$A$194</definedName>
    <definedName name="Developers_Comments" localSheetId="9">Translation!$A$153</definedName>
    <definedName name="Development_Team" localSheetId="9">Translation!$A$185</definedName>
    <definedName name="Disadvantage" localSheetId="9">Translation!$A$47</definedName>
    <definedName name="Done" localSheetId="9">Translation!$A$193</definedName>
    <definedName name="Draft_ready" localSheetId="9">Translation!$A$200</definedName>
    <definedName name="Duration" localSheetId="9">Translation!$A$219</definedName>
    <definedName name="Effect_Deviation" localSheetId="9">Translation!$A$76</definedName>
    <definedName name="Effective_Coverage" localSheetId="9">Translation!$A$103</definedName>
    <definedName name="Effective_Profile" localSheetId="9">Translation!$A$16</definedName>
    <definedName name="EffectiveResponse" localSheetId="4">'FUR Combinator'!$N$5:$N$10</definedName>
    <definedName name="EffectiveResponse" localSheetId="5">'FUR Combinator sorted'!$N$5:$N$10</definedName>
    <definedName name="Effort" localSheetId="9">Translation!$A$182</definedName>
    <definedName name="eMail" localSheetId="9">Translation!$A$188</definedName>
    <definedName name="End_Date" localSheetId="9">Translation!$A$220</definedName>
    <definedName name="Essential" localSheetId="9">Translation!$A$34</definedName>
    <definedName name="Executing_this_Data_Movement" localSheetId="9">Translation!$A$155</definedName>
    <definedName name="Expected" localSheetId="9">Translation!$A$93</definedName>
    <definedName name="ExpectedResponse" localSheetId="4">'FUR Combinator'!$D$5:$D$10</definedName>
    <definedName name="ExpectedResponse" localSheetId="5">'FUR Combinator sorted'!$D$5:$D$10</definedName>
    <definedName name="Explained_Profile" localSheetId="9">Translation!$A$121</definedName>
    <definedName name="Fault_Class" localSheetId="9">Translation!$A$148</definedName>
    <definedName name="Fault_Recording" localSheetId="9">Translation!$A$147</definedName>
    <definedName name="Fault_Resolution" localSheetId="9">Translation!$A$152</definedName>
    <definedName name="Fault_Status" localSheetId="9">Translation!$A$149</definedName>
    <definedName name="FaultClassification">Translation!$A$131:$A$136</definedName>
    <definedName name="Faults_Observed" localSheetId="9">Translation!$A$157</definedName>
    <definedName name="FaultStatus">Translation!$A$137:$A$142</definedName>
    <definedName name="Feature_Test_Methods" localSheetId="9">Translation!$A$95</definedName>
    <definedName name="Features" localSheetId="9">Translation!$A$89</definedName>
    <definedName name="Finalized" localSheetId="9">Translation!$A$202</definedName>
    <definedName name="FormulaStore" localSheetId="7">'Data Movements'!$B$5:$M$5</definedName>
    <definedName name="Full_Name" localSheetId="9">Translation!$A$187</definedName>
    <definedName name="Function_Points_FP_covered" localSheetId="9">Translation!$A$98</definedName>
    <definedName name="Functional" localSheetId="9">Translation!$A$204</definedName>
    <definedName name="Functional_Coverage" localSheetId="9">Translation!$A$196</definedName>
    <definedName name="Functional_Size_velocity_per_workday" localSheetId="9">Translation!$A$225</definedName>
    <definedName name="Functional_Sizing" localSheetId="9">Translation!$A$119</definedName>
    <definedName name="functional_user" localSheetId="9">Translation!$A$211</definedName>
    <definedName name="Functionality" localSheetId="9">Translation!$A$246</definedName>
    <definedName name="Functionality_CFP_covered" localSheetId="9">Translation!$A$98</definedName>
    <definedName name="FunctionalProcess" localSheetId="7">'Data Movements'!$G$5:$G$66</definedName>
    <definedName name="FUR_Size" localSheetId="9">Translation!$A$248</definedName>
    <definedName name="FurList" localSheetId="1">'Size Interface'!$D$5:$D$12</definedName>
    <definedName name="Gap" localSheetId="9">Translation!$A$97</definedName>
    <definedName name="get_something_done" localSheetId="9">Translation!$A$212</definedName>
    <definedName name="Global" localSheetId="9">Translation!$A$181</definedName>
    <definedName name="Goal_Profile" localSheetId="9">Translation!$A$72</definedName>
    <definedName name="Goal_Test_Coverage" localSheetId="9">Translation!$A$102</definedName>
    <definedName name="GoalProfile" localSheetId="3">'FURs Measured'!$M$5:$M$12</definedName>
    <definedName name="GoalProfile" localSheetId="0">'Goal Interface'!$K$5:$K$10</definedName>
    <definedName name="GoalProfile" localSheetId="1">'Size Interface'!$M$5:$M$12</definedName>
    <definedName name="GoalProfile" localSheetId="2">'Size Interface BW'!$M$5:$M$12</definedName>
    <definedName name="GoalTopic" localSheetId="4">'FUR Combinator'!$B$4</definedName>
    <definedName name="GoalTopic" localSheetId="6">'FUR Combinator BW'!$B$4</definedName>
    <definedName name="GoalTopic" localSheetId="5">'FUR Combinator sorted'!$B$4</definedName>
    <definedName name="GoalTopic" localSheetId="3">'FURs Measured'!$B$2</definedName>
    <definedName name="GoalTopic" localSheetId="0">'Goal Interface'!$B$4</definedName>
    <definedName name="GoalTopic" localSheetId="1">'Size Interface'!$B$4</definedName>
    <definedName name="GoalTopic" localSheetId="2">'Size Interface BW'!$B$4</definedName>
    <definedName name="Good" localSheetId="9">Translation!$A$37</definedName>
    <definedName name="Hours" localSheetId="9">Translation!$A$250</definedName>
    <definedName name="Hours_per_Day" localSheetId="9">Translation!$A$236</definedName>
    <definedName name="I_want_to" localSheetId="9">Translation!$A$208</definedName>
    <definedName name="Ideal_Profile" localSheetId="9">Translation!$A$110</definedName>
    <definedName name="Impact" localSheetId="9">Translation!$A$239</definedName>
    <definedName name="Impact_on_" localSheetId="9">Translation!$A$197</definedName>
    <definedName name="Importance" localSheetId="9">Translation!$A$167</definedName>
    <definedName name="Importance_Weight" localSheetId="9">Translation!$A$177</definedName>
    <definedName name="Important" localSheetId="9">Translation!$A$33</definedName>
    <definedName name="Improvement_Factor" localSheetId="9">Translation!$A$175</definedName>
    <definedName name="In_Progress" localSheetId="9">Translation!$A$140</definedName>
    <definedName name="Initial_Guess" localSheetId="9">Translation!$A$22</definedName>
    <definedName name="Interface_to_COSMIC_Count" localSheetId="9">Translation!$A$183</definedName>
    <definedName name="Interface_to_Goal_Profile" localSheetId="9">Translation!$A$184</definedName>
    <definedName name="Kano_Analysis" localSheetId="9">Translation!$A$114</definedName>
    <definedName name="Kano_Profile" localSheetId="9">Translation!$A$115</definedName>
    <definedName name="Key_Performance_Indicators_for_Velocity" localSheetId="9">Translation!$A$223</definedName>
    <definedName name="Key_Process_Areas" localSheetId="9">Translation!$A$82</definedName>
    <definedName name="L_All_Fine" localSheetId="9">Translation!$A$131</definedName>
    <definedName name="L_Fatal" localSheetId="9">Translation!$A$136</definedName>
    <definedName name="L_Fatal_Fault" localSheetId="9">Translation!$A$136</definedName>
    <definedName name="L_Important" localSheetId="9">Translation!$A$134</definedName>
    <definedName name="L_Important_Fault" localSheetId="9">Translation!$A$134</definedName>
    <definedName name="L_Major" localSheetId="9">Translation!$A$135</definedName>
    <definedName name="L_Major_Fault" localSheetId="9">Translation!$A$135</definedName>
    <definedName name="L_Minor" localSheetId="9">Translation!$A$133</definedName>
    <definedName name="L_Minor_Fault" localSheetId="9">Translation!$A$133</definedName>
    <definedName name="L_Wish" localSheetId="9">Translation!$A$132</definedName>
    <definedName name="Label" localSheetId="7">'Data Movements'!$D$5:$D$66</definedName>
    <definedName name="Label" localSheetId="9">Translation!$A$144</definedName>
    <definedName name="Lanchester_Profile" localSheetId="9">Translation!$A$57</definedName>
    <definedName name="Language" localSheetId="9">Translation!$A$2</definedName>
    <definedName name="LanguageUpdate">'Goal Interface'!$R$2</definedName>
    <definedName name="Last_Update" localSheetId="9">Translation!$A$206</definedName>
    <definedName name="LastIndex" localSheetId="7">'Data Movements'!$B$66</definedName>
    <definedName name="Local" localSheetId="9">Translation!$A$180</definedName>
    <definedName name="Management_Adjustments" localSheetId="9">Translation!$A$67</definedName>
    <definedName name="Manual" localSheetId="9">Translation!$A$242</definedName>
    <definedName name="Manual_Entry" localSheetId="9">Translation!$A$94</definedName>
    <definedName name="Market_Preferences_Orange" localSheetId="9">Translation!$A$60</definedName>
    <definedName name="Market_Segments" localSheetId="9">Translation!$A$9</definedName>
    <definedName name="Market_Share_as_expected" localSheetId="9">Translation!$A$42</definedName>
    <definedName name="Market_Share_as_of_today" localSheetId="9">Translation!$A$41</definedName>
    <definedName name="Market_Share_Competition" localSheetId="9">Translation!$A$40</definedName>
    <definedName name="Market_Signal" localSheetId="9">Translation!$A$59</definedName>
    <definedName name="Matrix_is_too_complicated" localSheetId="9">Translation!$A$80</definedName>
    <definedName name="MaximumConvergence" localSheetId="4">'FUR Combinator'!$M$4</definedName>
    <definedName name="MaximumConvergence" localSheetId="6">'FUR Combinator BW'!$M$4</definedName>
    <definedName name="MaximumConvergence" localSheetId="5">'FUR Combinator sorted'!$M$4</definedName>
    <definedName name="MaximumWeight" localSheetId="4">'FUR Combinator'!$M$11</definedName>
    <definedName name="Measured" localSheetId="9">Translation!$A$105</definedName>
    <definedName name="Measured_Coverage" localSheetId="9">Translation!$A$104</definedName>
    <definedName name="Measured_Impact" localSheetId="9">Translation!$A$74</definedName>
    <definedName name="Measured_Profile_of_" localSheetId="9">Translation!$A$73</definedName>
    <definedName name="Measurement_Confidence" localSheetId="9">Translation!$A$122</definedName>
    <definedName name="Name" localSheetId="7">'Data Movements'!$C$5:$C$66</definedName>
    <definedName name="Name" localSheetId="9">Translation!$A$143</definedName>
    <definedName name="Needs_Analysis_Combinator" localSheetId="9">Translation!$A$17</definedName>
    <definedName name="New_Lanchester_Profile" localSheetId="9">Translation!$A$58</definedName>
    <definedName name="New_Target_Solution_Green" localSheetId="9">Translation!$A$63</definedName>
    <definedName name="NFR_Extension_Factor_CFPImpact" localSheetId="9">Translation!$A$238</definedName>
    <definedName name="NFR_Size" localSheetId="9">Translation!$A$249</definedName>
    <definedName name="Nice_To_Have" localSheetId="9">Translation!$A$32</definedName>
    <definedName name="Nickname" localSheetId="9">Translation!$A$186</definedName>
    <definedName name="No" localSheetId="9">Translation!$A$125</definedName>
    <definedName name="No_action_taken" localSheetId="9">Translation!$A$130</definedName>
    <definedName name="No_of_" localSheetId="9">Translation!$A$222</definedName>
    <definedName name="No_of_references_made" localSheetId="9">Translation!$A$26</definedName>
    <definedName name="Nonfunctional" localSheetId="9">Translation!$A$247</definedName>
    <definedName name="Normalized_Profile" localSheetId="9">Translation!$A$23</definedName>
    <definedName name="Not_Important" localSheetId="9">Translation!$A$31</definedName>
    <definedName name="not_taking_story_cards" localSheetId="9">Translation!$A$191</definedName>
    <definedName name="ObjectReference" localSheetId="7">'Data Movements'!$H$5:$H$66</definedName>
    <definedName name="OK" localSheetId="9">Translation!$A$36</definedName>
    <definedName name="Old_Lanchester_Profile" localSheetId="9">Translation!$A$57</definedName>
    <definedName name="Old_Lanchester_Profile_raw" localSheetId="9">Translation!$A$57</definedName>
    <definedName name="Opportunities" localSheetId="9">Translation!$A$65</definedName>
    <definedName name="Our_Achievement_Profile" localSheetId="9">Translation!$A$52</definedName>
    <definedName name="Our_Adjusted_Achievement_Profile" localSheetId="9">Translation!$A$57</definedName>
    <definedName name="Our_Adjusted_Lanchester_Profile" localSheetId="9">Translation!$A$57</definedName>
    <definedName name="Our_Adjusted_Profile" localSheetId="9">Translation!$A$56</definedName>
    <definedName name="Our_Adjusted_Weight" localSheetId="9">Translation!$A$57</definedName>
    <definedName name="Our_Raw_Weight" localSheetId="9">Translation!$A$50</definedName>
    <definedName name="Overall_Duration" localSheetId="9">Translation!$A$235</definedName>
    <definedName name="Overall_NPS" localSheetId="9">Translation!$A$171</definedName>
    <definedName name="Perceived_" localSheetId="9">Translation!$A$91</definedName>
    <definedName name="Percentile" localSheetId="9">Translation!$A$123</definedName>
    <definedName name="Percentile">'Goal Interface'!$P$3</definedName>
    <definedName name="Planned_Status" localSheetId="9">Translation!$A$174</definedName>
    <definedName name="Planning_Profile" localSheetId="9">Translation!$A$178</definedName>
    <definedName name="Poor" localSheetId="9">Translation!$A$35</definedName>
    <definedName name="Predicted_" localSheetId="9">Translation!$A$240</definedName>
    <definedName name="Press_here_to_check_matrix" localSheetId="9">Translation!$A$79</definedName>
    <definedName name="Priority" localSheetId="9">Translation!$A$96</definedName>
    <definedName name="Process_Capability" localSheetId="9">Translation!$A$77</definedName>
    <definedName name="Process_Maturity_Gap" localSheetId="9">Translation!$A$77</definedName>
    <definedName name="Product_Characteristics" localSheetId="9">Translation!$A$87</definedName>
    <definedName name="Productname_Dark_Green" localSheetId="9">Translation!$A$62</definedName>
    <definedName name="Profile" localSheetId="9">Translation!$A$11</definedName>
    <definedName name="Project" localSheetId="9">Translation!$A$251</definedName>
    <definedName name="Project_Delivery_Rate_PDR" localSheetId="9">Translation!$A$237</definedName>
    <definedName name="quality_characteristic" localSheetId="9">Translation!$A$213</definedName>
    <definedName name="Ranking" localSheetId="9">Translation!$A$118</definedName>
    <definedName name="Raw_Profile" localSheetId="9">Translation!$A$22</definedName>
    <definedName name="Reason_for_Buying" localSheetId="9">Translation!$A$28</definedName>
    <definedName name="Reason_for_Using" localSheetId="9">Translation!$A$29</definedName>
    <definedName name="Refactored" localSheetId="9">Translation!$A$205</definedName>
    <definedName name="Reference" localSheetId="9">Translation!$A$241</definedName>
    <definedName name="relative_to_Market_Strength" localSheetId="9">Translation!$A$54</definedName>
    <definedName name="relative_to_Weapons_Strength" localSheetId="9">Translation!$A$54</definedName>
    <definedName name="Requirement" localSheetId="9">Translation!$A$107</definedName>
    <definedName name="Resolved" localSheetId="9">Translation!$A$142</definedName>
    <definedName name="Response_Profile" localSheetId="9">Translation!$A$120</definedName>
    <definedName name="ResponseGraphArea" localSheetId="4">'FUR Combinator'!$O$5:$Q$10</definedName>
    <definedName name="ResponseGraphArea" localSheetId="6">'FUR Combinator BW'!$O$5:$Q$10</definedName>
    <definedName name="ResponseGraphArea" localSheetId="5">'FUR Combinator sorted'!$O$5:$Q$10</definedName>
    <definedName name="ResponseGraphArea" localSheetId="3">'FURs Measured'!$O$5:$P$12</definedName>
    <definedName name="ResponseGraphArea" localSheetId="0">'Goal Interface'!$L$5:$L$10</definedName>
    <definedName name="ResponseGraphArea" localSheetId="1">'Size Interface'!$O$5:$P$12</definedName>
    <definedName name="ResponseGraphArea" localSheetId="2">'Size Interface BW'!$O$5:$P$12</definedName>
    <definedName name="Responsible" localSheetId="9">Translation!$A$192</definedName>
    <definedName name="Review_done" localSheetId="9">Translation!$A$201</definedName>
    <definedName name="Risk_Profile" localSheetId="9">Translation!$A$66</definedName>
    <definedName name="Risks" localSheetId="9">Translation!$A$64</definedName>
    <definedName name="Role" localSheetId="9">Translation!$A$189</definedName>
    <definedName name="Sales_Points" localSheetId="9">Translation!$A$176</definedName>
    <definedName name="Satisfaction" localSheetId="9">Translation!$A$168</definedName>
    <definedName name="Scheduled_for" localSheetId="9">Translation!$A$193</definedName>
    <definedName name="Score" localSheetId="9">Translation!$A$39</definedName>
    <definedName name="Select_Improvement_Ratio" localSheetId="9">Translation!$A$55</definedName>
    <definedName name="Selected" localSheetId="9">Translation!$A$243</definedName>
    <definedName name="SelectLanguage" localSheetId="9">Translation!$A$1</definedName>
    <definedName name="SelectLanguage">'Goal Interface'!$R$3</definedName>
    <definedName name="SelectLanguage_ValidationList">Translation!$B$1:$C$1</definedName>
    <definedName name="Set_maximum_CMM_level_for_best_process" localSheetId="9">Translation!$A$85</definedName>
    <definedName name="SignalCells" localSheetId="4">'FUR Combinator'!$Q$13</definedName>
    <definedName name="SignalCells" localSheetId="5">'FUR Combinator sorted'!$Q$13</definedName>
    <definedName name="Six_Steps_to_Completion" localSheetId="9">Translation!$A$198</definedName>
    <definedName name="Size" localSheetId="9">Translation!$A$12</definedName>
    <definedName name="so_that" localSheetId="9">Translation!$A$210</definedName>
    <definedName name="Solution_Profile" localSheetId="9">Translation!$A$24</definedName>
    <definedName name="SolutionControls" localSheetId="4">'FUR Combinator'!$E$12:$L$12</definedName>
    <definedName name="SolutionControls" localSheetId="6">'FUR Combinator BW'!$E$12:$L$12</definedName>
    <definedName name="SolutionControls" localSheetId="5">'FUR Combinator sorted'!$E$12:$L$12</definedName>
    <definedName name="SolutionTopic" localSheetId="4">'FUR Combinator'!$E$2</definedName>
    <definedName name="SolutionTopic" localSheetId="6">'FUR Combinator BW'!$E$2</definedName>
    <definedName name="SolutionTopic" localSheetId="5">'FUR Combinator sorted'!$E$2</definedName>
    <definedName name="SolutionTopic" localSheetId="3">'FURs Measured'!$E$3</definedName>
    <definedName name="Sorted" localSheetId="9">Translation!$A$68</definedName>
    <definedName name="SourceFile" localSheetId="0">'Goal Interface'!$D$3</definedName>
    <definedName name="SourceFile" localSheetId="1">'Size Interface'!$D$3</definedName>
    <definedName name="SourceFile" localSheetId="2">'Size Interface BW'!$D$3</definedName>
    <definedName name="SourceSheet" localSheetId="0">'Goal Interface'!$L$3</definedName>
    <definedName name="Sponsors_Stakeholders" localSheetId="9">Translation!$A$190</definedName>
    <definedName name="Start_Date" localSheetId="9">Translation!$A$218</definedName>
    <definedName name="StartCol" localSheetId="0">'Goal Interface'!$N$3</definedName>
    <definedName name="Story_Point_velocity_per_workday" localSheetId="9">Translation!$A$226</definedName>
    <definedName name="Story_Points" localSheetId="9">Translation!$A$234</definedName>
    <definedName name="StP_for_FUR" localSheetId="9">Translation!$A$229</definedName>
    <definedName name="StP_for_NFR" localSheetId="9">Translation!$A$230</definedName>
    <definedName name="such_that" localSheetId="9">Translation!$A$209</definedName>
    <definedName name="Suitable_For_Measurement" localSheetId="9">Translation!$A$78</definedName>
    <definedName name="Target_" localSheetId="9">Translation!$A$45</definedName>
    <definedName name="Target_Average_CMM_Level" localSheetId="9">Translation!$A$83</definedName>
    <definedName name="Team_Power" localSheetId="9">Translation!$A$244</definedName>
    <definedName name="Test_Case_Identifier" localSheetId="9">Translation!$A$109</definedName>
    <definedName name="Test_Cases" localSheetId="9">Translation!$A$154</definedName>
    <definedName name="Test_Coverage" localSheetId="9">Translation!$A$165</definedName>
    <definedName name="Test_Effectiveness" localSheetId="9">Translation!$A$75</definedName>
    <definedName name="Test_Intensity" localSheetId="9">Translation!$A$164</definedName>
    <definedName name="Test_ready" localSheetId="9">Translation!$A$199</definedName>
    <definedName name="Test_Size" localSheetId="9">Translation!$A$163</definedName>
    <definedName name="Test_Status_Summary" localSheetId="9">Translation!$A$166</definedName>
    <definedName name="There_are_linear_dependencies" localSheetId="9">Translation!$A$81</definedName>
    <definedName name="Top" localSheetId="9">Translation!$A$38</definedName>
    <definedName name="Top_Processes" localSheetId="9">Translation!$A$86</definedName>
    <definedName name="Topics" localSheetId="9">Translation!$A$5</definedName>
    <definedName name="Total" localSheetId="9">Translation!$A$217</definedName>
    <definedName name="Total_Functionality_Implemented" localSheetId="9">Translation!$A$232</definedName>
    <definedName name="Transfer_Function" localSheetId="9">Translation!$A$169</definedName>
    <definedName name="TransferFunction" localSheetId="4">'FUR Combinator'!$E$5:$L$10</definedName>
    <definedName name="TransferFunction" localSheetId="6">'FUR Combinator BW'!$E$5:$L$10</definedName>
    <definedName name="TransferFunction" localSheetId="5">'FUR Combinator sorted'!$E$5:$L$10</definedName>
    <definedName name="TransferFunction" localSheetId="3">'FURs Measured'!$E$5:$J$12</definedName>
    <definedName name="TriggerPosition" localSheetId="7">'Data Movements'!$F$5:$F$66</definedName>
    <definedName name="Under_Test" localSheetId="9">Translation!$A$141</definedName>
    <definedName name="value_or_benefit" localSheetId="9">Translation!$A$214</definedName>
    <definedName name="Vision_Functional_Size" localSheetId="9">Translation!$A$231</definedName>
    <definedName name="VoC_Input" localSheetId="9">Translation!$A$172</definedName>
    <definedName name="Waiting" localSheetId="9">Translation!$A$138</definedName>
    <definedName name="Weight" localSheetId="9">Translation!$A$7</definedName>
    <definedName name="With_New_Product" localSheetId="9">Translation!$A$90</definedName>
    <definedName name="Yes" localSheetId="9">Translation!$A$124</definedName>
    <definedName name="YesNo">Translation!$A$124:$A$125</definedName>
  </definedNames>
  <calcPr calcId="171027"/>
</workbook>
</file>

<file path=xl/calcChain.xml><?xml version="1.0" encoding="utf-8"?>
<calcChain xmlns="http://schemas.openxmlformats.org/spreadsheetml/2006/main">
  <c r="A251" i="5" l="1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E5" i="25"/>
  <c r="E9" i="26" l="1"/>
  <c r="A228" i="5"/>
  <c r="A227" i="5"/>
  <c r="R3" i="6" l="1"/>
  <c r="K11" i="27" l="1"/>
  <c r="C11" i="24"/>
  <c r="K3" i="25" s="1"/>
  <c r="K3" i="26" s="1"/>
  <c r="B11" i="24"/>
  <c r="K4" i="25" s="1"/>
  <c r="K4" i="26" s="1"/>
  <c r="J11" i="32"/>
  <c r="I11" i="32"/>
  <c r="H11" i="32"/>
  <c r="G11" i="32"/>
  <c r="E11" i="32"/>
  <c r="D11" i="32"/>
  <c r="C11" i="32"/>
  <c r="J11" i="27"/>
  <c r="C10" i="24"/>
  <c r="J3" i="25" s="1"/>
  <c r="J3" i="26" s="1"/>
  <c r="B10" i="24"/>
  <c r="J4" i="25" s="1"/>
  <c r="J4" i="26" s="1"/>
  <c r="J10" i="32"/>
  <c r="I10" i="32"/>
  <c r="H10" i="32"/>
  <c r="G10" i="32"/>
  <c r="E10" i="32"/>
  <c r="D10" i="32"/>
  <c r="C10" i="32"/>
  <c r="I11" i="27"/>
  <c r="C9" i="24"/>
  <c r="I3" i="25" s="1"/>
  <c r="I3" i="26" s="1"/>
  <c r="B9" i="24"/>
  <c r="I4" i="25" s="1"/>
  <c r="I4" i="26" s="1"/>
  <c r="J9" i="32"/>
  <c r="I9" i="32"/>
  <c r="H9" i="32"/>
  <c r="G9" i="32"/>
  <c r="E9" i="32"/>
  <c r="D9" i="32"/>
  <c r="C9" i="32"/>
  <c r="H11" i="27"/>
  <c r="C8" i="24"/>
  <c r="H3" i="25" s="1"/>
  <c r="H3" i="26" s="1"/>
  <c r="B8" i="24"/>
  <c r="H4" i="25" s="1"/>
  <c r="H4" i="26" s="1"/>
  <c r="J8" i="32"/>
  <c r="I8" i="32"/>
  <c r="H8" i="32"/>
  <c r="G8" i="32"/>
  <c r="E8" i="32"/>
  <c r="D8" i="32"/>
  <c r="C8" i="32"/>
  <c r="G11" i="27"/>
  <c r="C7" i="24"/>
  <c r="G3" i="25" s="1"/>
  <c r="G3" i="26" s="1"/>
  <c r="B7" i="24"/>
  <c r="G4" i="25" s="1"/>
  <c r="G4" i="26" s="1"/>
  <c r="J7" i="32"/>
  <c r="I7" i="32"/>
  <c r="H7" i="32"/>
  <c r="G7" i="32"/>
  <c r="E7" i="32"/>
  <c r="D7" i="32"/>
  <c r="C7" i="32"/>
  <c r="B27" i="11"/>
  <c r="B33" i="11"/>
  <c r="B36" i="11"/>
  <c r="B38" i="11"/>
  <c r="B50" i="11"/>
  <c r="B22" i="11"/>
  <c r="B53" i="11"/>
  <c r="B58" i="11"/>
  <c r="B30" i="11"/>
  <c r="B59" i="11"/>
  <c r="B48" i="11"/>
  <c r="B54" i="11"/>
  <c r="B37" i="11"/>
  <c r="B60" i="11"/>
  <c r="B63" i="11"/>
  <c r="B45" i="11"/>
  <c r="B35" i="11"/>
  <c r="B13" i="11"/>
  <c r="B64" i="11"/>
  <c r="B15" i="11"/>
  <c r="B28" i="11"/>
  <c r="B16" i="11"/>
  <c r="B26" i="11"/>
  <c r="B34" i="11"/>
  <c r="B23" i="11"/>
  <c r="B39" i="11"/>
  <c r="B52" i="11"/>
  <c r="B18" i="11"/>
  <c r="B41" i="11"/>
  <c r="B62" i="11"/>
  <c r="B43" i="11"/>
  <c r="B25" i="11"/>
  <c r="B56" i="11"/>
  <c r="B12" i="11"/>
  <c r="B14" i="11"/>
  <c r="B29" i="11"/>
  <c r="B40" i="11"/>
  <c r="B47" i="11"/>
  <c r="B19" i="11"/>
  <c r="B51" i="11"/>
  <c r="B17" i="11"/>
  <c r="B44" i="11"/>
  <c r="B21" i="11"/>
  <c r="B20" i="11"/>
  <c r="B24" i="11"/>
  <c r="B61" i="11"/>
  <c r="B42" i="11"/>
  <c r="B32" i="11"/>
  <c r="B46" i="11"/>
  <c r="B31" i="11"/>
  <c r="B65" i="11"/>
  <c r="B55" i="11"/>
  <c r="B49" i="11"/>
  <c r="B57" i="11"/>
  <c r="J5" i="25"/>
  <c r="G8" i="25"/>
  <c r="J6" i="25"/>
  <c r="K8" i="25"/>
  <c r="J9" i="25"/>
  <c r="J7" i="25"/>
  <c r="I6" i="25"/>
  <c r="I5" i="25"/>
  <c r="H6" i="25"/>
  <c r="H8" i="25"/>
  <c r="K9" i="25"/>
  <c r="G9" i="25"/>
  <c r="K7" i="25"/>
  <c r="G10" i="25"/>
  <c r="G6" i="25"/>
  <c r="J8" i="25"/>
  <c r="K6" i="25"/>
  <c r="G7" i="25"/>
  <c r="J10" i="25"/>
  <c r="I8" i="25"/>
  <c r="H10" i="25"/>
  <c r="I10" i="25"/>
  <c r="H7" i="25"/>
  <c r="H5" i="25"/>
  <c r="I9" i="25"/>
  <c r="H9" i="25"/>
  <c r="G5" i="25"/>
  <c r="K10" i="25"/>
  <c r="K5" i="25"/>
  <c r="I7" i="25"/>
  <c r="J6" i="26" l="1"/>
  <c r="J10" i="26"/>
  <c r="H5" i="26"/>
  <c r="J5" i="26"/>
  <c r="H7" i="26"/>
  <c r="G6" i="26"/>
  <c r="J8" i="26"/>
  <c r="H6" i="26"/>
  <c r="K5" i="26"/>
  <c r="H10" i="26"/>
  <c r="I6" i="26"/>
  <c r="K8" i="26"/>
  <c r="J7" i="26"/>
  <c r="H9" i="26"/>
  <c r="I5" i="26"/>
  <c r="G9" i="26"/>
  <c r="I8" i="26"/>
  <c r="K10" i="26"/>
  <c r="I7" i="26"/>
  <c r="K9" i="26"/>
  <c r="K6" i="26"/>
  <c r="G10" i="26"/>
  <c r="K7" i="26"/>
  <c r="I10" i="26"/>
  <c r="G7" i="26"/>
  <c r="G5" i="26"/>
  <c r="H8" i="26"/>
  <c r="I9" i="26"/>
  <c r="G8" i="26"/>
  <c r="J9" i="26"/>
  <c r="G6" i="27"/>
  <c r="G7" i="27"/>
  <c r="H7" i="27"/>
  <c r="I7" i="27"/>
  <c r="J7" i="27"/>
  <c r="K7" i="27"/>
  <c r="G8" i="27"/>
  <c r="H8" i="27"/>
  <c r="I8" i="27"/>
  <c r="J8" i="27"/>
  <c r="K8" i="27"/>
  <c r="G9" i="27"/>
  <c r="H9" i="27"/>
  <c r="I9" i="27"/>
  <c r="J9" i="27"/>
  <c r="K9" i="27"/>
  <c r="G10" i="27"/>
  <c r="H10" i="27"/>
  <c r="I10" i="27"/>
  <c r="J10" i="27"/>
  <c r="K10" i="27"/>
  <c r="G5" i="27"/>
  <c r="H5" i="27"/>
  <c r="I5" i="27"/>
  <c r="J5" i="27"/>
  <c r="K5" i="27"/>
  <c r="H6" i="27"/>
  <c r="I6" i="27"/>
  <c r="J6" i="27"/>
  <c r="K6" i="27"/>
  <c r="G4" i="27"/>
  <c r="H3" i="27"/>
  <c r="I3" i="27"/>
  <c r="I4" i="27"/>
  <c r="J4" i="27"/>
  <c r="J3" i="27"/>
  <c r="K4" i="27"/>
  <c r="K3" i="27"/>
  <c r="G3" i="27"/>
  <c r="H4" i="27"/>
  <c r="D9" i="25" l="1"/>
  <c r="D8" i="26" s="1"/>
  <c r="C9" i="25"/>
  <c r="C8" i="26" s="1"/>
  <c r="B9" i="25"/>
  <c r="B8" i="26" s="1"/>
  <c r="I4" i="24"/>
  <c r="D8" i="25"/>
  <c r="D7" i="26" s="1"/>
  <c r="C8" i="25"/>
  <c r="C7" i="26" s="1"/>
  <c r="B8" i="25"/>
  <c r="B7" i="26" s="1"/>
  <c r="H4" i="24"/>
  <c r="E9" i="25"/>
  <c r="E8" i="25"/>
  <c r="F8" i="25"/>
  <c r="L8" i="25"/>
  <c r="L9" i="25"/>
  <c r="F9" i="25"/>
  <c r="L7" i="26" l="1"/>
  <c r="F7" i="26"/>
  <c r="E7" i="26"/>
  <c r="L8" i="26"/>
  <c r="E8" i="26"/>
  <c r="F8" i="26"/>
  <c r="B9" i="27"/>
  <c r="D9" i="27"/>
  <c r="C8" i="27"/>
  <c r="C9" i="27"/>
  <c r="D8" i="27"/>
  <c r="E9" i="27"/>
  <c r="F9" i="27"/>
  <c r="L9" i="27"/>
  <c r="B8" i="27"/>
  <c r="E8" i="27"/>
  <c r="F8" i="27"/>
  <c r="L8" i="27"/>
  <c r="A226" i="5" l="1"/>
  <c r="A225" i="5"/>
  <c r="A224" i="5"/>
  <c r="A223" i="5"/>
  <c r="A222" i="5" l="1"/>
  <c r="A221" i="5"/>
  <c r="A220" i="5"/>
  <c r="A219" i="5"/>
  <c r="A218" i="5"/>
  <c r="A217" i="5"/>
  <c r="A216" i="5"/>
  <c r="A215" i="5"/>
  <c r="A214" i="5"/>
  <c r="A213" i="5"/>
  <c r="A212" i="5"/>
  <c r="A211" i="5"/>
  <c r="A210" i="5"/>
  <c r="J4" i="7" s="1"/>
  <c r="A209" i="5"/>
  <c r="A208" i="5"/>
  <c r="H4" i="7" s="1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G4" i="7" l="1"/>
  <c r="I4" i="7"/>
  <c r="D7" i="25"/>
  <c r="D10" i="26" s="1"/>
  <c r="C7" i="25"/>
  <c r="C10" i="26" s="1"/>
  <c r="B7" i="25"/>
  <c r="B10" i="26" s="1"/>
  <c r="G4" i="24"/>
  <c r="F7" i="25"/>
  <c r="L7" i="25"/>
  <c r="E7" i="25"/>
  <c r="F10" i="26" l="1"/>
  <c r="E10" i="26"/>
  <c r="L10" i="26"/>
  <c r="D7" i="27"/>
  <c r="C7" i="27"/>
  <c r="B7" i="27"/>
  <c r="F7" i="27"/>
  <c r="L7" i="27"/>
  <c r="E7" i="27"/>
  <c r="A181" i="5" l="1"/>
  <c r="A180" i="5"/>
  <c r="A179" i="5"/>
  <c r="A178" i="5" l="1"/>
  <c r="A177" i="5"/>
  <c r="A176" i="5"/>
  <c r="A175" i="5"/>
  <c r="A174" i="5"/>
  <c r="A173" i="5"/>
  <c r="A172" i="5"/>
  <c r="A171" i="5"/>
  <c r="A170" i="5"/>
  <c r="A169" i="5"/>
  <c r="A168" i="5"/>
  <c r="A167" i="5"/>
  <c r="A118" i="5"/>
  <c r="A117" i="5"/>
  <c r="O3" i="6" l="1"/>
  <c r="A2" i="5" l="1"/>
  <c r="Q3" i="6" s="1"/>
  <c r="J12" i="32" l="1"/>
  <c r="I12" i="32"/>
  <c r="H12" i="32"/>
  <c r="G12" i="32"/>
  <c r="J6" i="32"/>
  <c r="I6" i="32"/>
  <c r="H6" i="32"/>
  <c r="G6" i="32"/>
  <c r="J5" i="32"/>
  <c r="I5" i="32"/>
  <c r="H5" i="32"/>
  <c r="G5" i="32"/>
  <c r="E12" i="32"/>
  <c r="D12" i="32"/>
  <c r="C12" i="32"/>
  <c r="E6" i="32"/>
  <c r="D6" i="32"/>
  <c r="C6" i="32"/>
  <c r="E5" i="32"/>
  <c r="D5" i="32"/>
  <c r="C5" i="32"/>
  <c r="B4" i="32"/>
  <c r="E68" i="11" l="1"/>
  <c r="E67" i="11"/>
  <c r="A166" i="5"/>
  <c r="A165" i="5"/>
  <c r="A164" i="5"/>
  <c r="A163" i="5"/>
  <c r="A162" i="5"/>
  <c r="A161" i="5"/>
  <c r="A151" i="5" l="1"/>
  <c r="A159" i="5" l="1"/>
  <c r="A150" i="5" l="1"/>
  <c r="A146" i="5"/>
  <c r="A158" i="5" l="1"/>
  <c r="A160" i="5" l="1"/>
  <c r="A155" i="5" l="1"/>
  <c r="A157" i="5" l="1"/>
  <c r="A156" i="5"/>
  <c r="A154" i="5"/>
  <c r="A153" i="5"/>
  <c r="A152" i="5"/>
  <c r="A149" i="5"/>
  <c r="A148" i="5"/>
  <c r="A145" i="5"/>
  <c r="A144" i="5"/>
  <c r="A143" i="5"/>
  <c r="A147" i="5"/>
  <c r="A137" i="5" l="1"/>
  <c r="A138" i="5"/>
  <c r="A139" i="5"/>
  <c r="A140" i="5"/>
  <c r="A141" i="5"/>
  <c r="A142" i="5"/>
  <c r="A136" i="5"/>
  <c r="A135" i="5"/>
  <c r="A134" i="5"/>
  <c r="A133" i="5"/>
  <c r="A132" i="5"/>
  <c r="A131" i="5"/>
  <c r="C3" i="27" l="1"/>
  <c r="C2" i="27"/>
  <c r="A115" i="5" l="1"/>
  <c r="A76" i="5"/>
  <c r="A9" i="5"/>
  <c r="B2" i="25" l="1"/>
  <c r="B2" i="26" s="1"/>
  <c r="D10" i="25"/>
  <c r="D5" i="26" s="1"/>
  <c r="D6" i="25"/>
  <c r="D6" i="26" s="1"/>
  <c r="D5" i="25"/>
  <c r="D9" i="26" s="1"/>
  <c r="C10" i="25"/>
  <c r="C5" i="26" s="1"/>
  <c r="B10" i="25"/>
  <c r="B5" i="26" s="1"/>
  <c r="C6" i="25"/>
  <c r="C6" i="26" s="1"/>
  <c r="B6" i="25"/>
  <c r="B6" i="26" s="1"/>
  <c r="C5" i="25"/>
  <c r="C9" i="26" s="1"/>
  <c r="B5" i="25"/>
  <c r="B9" i="26" s="1"/>
  <c r="J4" i="24"/>
  <c r="F4" i="24"/>
  <c r="E4" i="24"/>
  <c r="C12" i="24"/>
  <c r="L3" i="25" s="1"/>
  <c r="L3" i="26" s="1"/>
  <c r="B12" i="24"/>
  <c r="L4" i="25" s="1"/>
  <c r="L4" i="26" s="1"/>
  <c r="C6" i="24"/>
  <c r="F3" i="25" s="1"/>
  <c r="F3" i="26" s="1"/>
  <c r="B6" i="24"/>
  <c r="F4" i="25" s="1"/>
  <c r="F4" i="26" s="1"/>
  <c r="C5" i="24"/>
  <c r="E3" i="25" s="1"/>
  <c r="E3" i="26" s="1"/>
  <c r="B5" i="24"/>
  <c r="E4" i="25" s="1"/>
  <c r="E4" i="26" s="1"/>
  <c r="B4" i="25"/>
  <c r="B4" i="26" s="1"/>
  <c r="E3" i="24"/>
  <c r="B15" i="27"/>
  <c r="B14" i="27"/>
  <c r="M12" i="27"/>
  <c r="M11" i="27"/>
  <c r="L11" i="27"/>
  <c r="F11" i="27"/>
  <c r="E11" i="27"/>
  <c r="C4" i="27"/>
  <c r="B15" i="26"/>
  <c r="B14" i="26"/>
  <c r="E6" i="25"/>
  <c r="F5" i="25"/>
  <c r="L10" i="25"/>
  <c r="L6" i="25"/>
  <c r="F10" i="25"/>
  <c r="E10" i="25"/>
  <c r="L5" i="25"/>
  <c r="F6" i="25"/>
  <c r="L9" i="26" l="1"/>
  <c r="F9" i="26"/>
  <c r="E6" i="26"/>
  <c r="F6" i="26"/>
  <c r="L6" i="26"/>
  <c r="F5" i="26"/>
  <c r="E5" i="26"/>
  <c r="L5" i="26"/>
  <c r="K11" i="25"/>
  <c r="K11" i="26" s="1"/>
  <c r="J11" i="25"/>
  <c r="J11" i="26" s="1"/>
  <c r="I11" i="25"/>
  <c r="I11" i="26" s="1"/>
  <c r="H11" i="25"/>
  <c r="H11" i="26" s="1"/>
  <c r="G11" i="25"/>
  <c r="G11" i="26" s="1"/>
  <c r="D6" i="27"/>
  <c r="B2" i="27"/>
  <c r="C10" i="27"/>
  <c r="B6" i="27"/>
  <c r="D10" i="27"/>
  <c r="D5" i="27"/>
  <c r="C6" i="27"/>
  <c r="B5" i="27"/>
  <c r="B4" i="27"/>
  <c r="L3" i="27"/>
  <c r="L4" i="27"/>
  <c r="E4" i="27"/>
  <c r="E3" i="27"/>
  <c r="C5" i="27"/>
  <c r="L11" i="25"/>
  <c r="L11" i="26" s="1"/>
  <c r="L5" i="27"/>
  <c r="E10" i="27"/>
  <c r="E6" i="27"/>
  <c r="L6" i="27"/>
  <c r="F6" i="27"/>
  <c r="E5" i="27"/>
  <c r="E11" i="25"/>
  <c r="E11" i="26" s="1"/>
  <c r="L10" i="27"/>
  <c r="F5" i="27"/>
  <c r="F10" i="27"/>
  <c r="F3" i="27"/>
  <c r="F4" i="27"/>
  <c r="B10" i="27"/>
  <c r="F11" i="25"/>
  <c r="F11" i="26" s="1"/>
  <c r="E12" i="25" a="1"/>
  <c r="J12" i="25" l="1"/>
  <c r="J12" i="26" s="1"/>
  <c r="K12" i="25"/>
  <c r="K12" i="26" s="1"/>
  <c r="L12" i="25"/>
  <c r="L12" i="26" s="1"/>
  <c r="E12" i="25"/>
  <c r="E12" i="26" s="1"/>
  <c r="F12" i="25"/>
  <c r="F12" i="26" s="1"/>
  <c r="G12" i="25"/>
  <c r="G12" i="26" s="1"/>
  <c r="H12" i="25"/>
  <c r="H12" i="26" s="1"/>
  <c r="I12" i="25"/>
  <c r="I12" i="26" s="1"/>
  <c r="M11" i="25"/>
  <c r="M11" i="26" s="1"/>
  <c r="F13" i="25"/>
  <c r="G13" i="25"/>
  <c r="I13" i="25"/>
  <c r="K13" i="25"/>
  <c r="L13" i="25"/>
  <c r="E13" i="25"/>
  <c r="J13" i="25"/>
  <c r="H13" i="25"/>
  <c r="M9" i="24" l="1"/>
  <c r="M9" i="7"/>
  <c r="M9" i="32" s="1"/>
  <c r="M11" i="7"/>
  <c r="M11" i="32" s="1"/>
  <c r="M8" i="7"/>
  <c r="M8" i="32" s="1"/>
  <c r="M7" i="7"/>
  <c r="M7" i="32" s="1"/>
  <c r="K12" i="27"/>
  <c r="G12" i="27"/>
  <c r="M11" i="24"/>
  <c r="M7" i="24"/>
  <c r="M10" i="24"/>
  <c r="M8" i="24"/>
  <c r="H12" i="27"/>
  <c r="I12" i="27"/>
  <c r="M10" i="7"/>
  <c r="M10" i="32" s="1"/>
  <c r="J12" i="27"/>
  <c r="M9" i="25"/>
  <c r="M8" i="26" s="1"/>
  <c r="M8" i="25"/>
  <c r="M7" i="26" s="1"/>
  <c r="M7" i="25"/>
  <c r="M10" i="26" s="1"/>
  <c r="M5" i="7"/>
  <c r="L12" i="27"/>
  <c r="M12" i="24"/>
  <c r="M12" i="7"/>
  <c r="M6" i="7"/>
  <c r="M5" i="25"/>
  <c r="M9" i="26" s="1"/>
  <c r="E12" i="27"/>
  <c r="M10" i="25"/>
  <c r="M5" i="26" s="1"/>
  <c r="M6" i="25"/>
  <c r="M6" i="26" s="1"/>
  <c r="F12" i="27"/>
  <c r="M5" i="24"/>
  <c r="M6" i="24"/>
  <c r="M9" i="27" l="1"/>
  <c r="M8" i="27"/>
  <c r="M7" i="27"/>
  <c r="M12" i="32"/>
  <c r="M6" i="32"/>
  <c r="M5" i="32"/>
  <c r="M6" i="27"/>
  <c r="M10" i="27"/>
  <c r="M4" i="25"/>
  <c r="M4" i="26" s="1"/>
  <c r="M5" i="27"/>
  <c r="N9" i="25"/>
  <c r="N10" i="25"/>
  <c r="N5" i="25"/>
  <c r="N6" i="25"/>
  <c r="N8" i="25"/>
  <c r="N7" i="25"/>
  <c r="N10" i="26" l="1"/>
  <c r="N9" i="26"/>
  <c r="N5" i="26"/>
  <c r="N6" i="26"/>
  <c r="N7" i="26"/>
  <c r="N8" i="26"/>
  <c r="N9" i="27"/>
  <c r="N8" i="27"/>
  <c r="N7" i="27"/>
  <c r="M4" i="27"/>
  <c r="N5" i="27"/>
  <c r="N6" i="27"/>
  <c r="N10" i="27"/>
  <c r="P13" i="25"/>
  <c r="P13" i="27" l="1"/>
  <c r="P13" i="26"/>
  <c r="B2" i="24" l="1"/>
  <c r="E2" i="25"/>
  <c r="E2" i="26" s="1"/>
  <c r="E2" i="27" l="1"/>
  <c r="B66" i="11"/>
  <c r="L67" i="11" l="1"/>
  <c r="K67" i="11"/>
  <c r="J67" i="11"/>
  <c r="I67" i="11"/>
  <c r="I68" i="11" l="1"/>
  <c r="A123" i="5" l="1"/>
  <c r="A122" i="5"/>
  <c r="A130" i="5"/>
  <c r="A129" i="5"/>
  <c r="A128" i="5"/>
  <c r="A127" i="5"/>
  <c r="A126" i="5"/>
  <c r="A125" i="5"/>
  <c r="A124" i="5"/>
  <c r="A121" i="5"/>
  <c r="A120" i="5"/>
  <c r="A119" i="5"/>
  <c r="A116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M4" i="32" s="1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5" i="5"/>
  <c r="A74" i="5"/>
  <c r="A73" i="5"/>
  <c r="A72" i="5"/>
  <c r="D3" i="25" s="1"/>
  <c r="D3" i="26" s="1"/>
  <c r="A71" i="5"/>
  <c r="B3" i="25" s="1"/>
  <c r="B3" i="26" s="1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D11" i="25" s="1"/>
  <c r="D11" i="26" s="1"/>
  <c r="A21" i="5"/>
  <c r="A20" i="5"/>
  <c r="C15" i="25" s="1"/>
  <c r="A19" i="5"/>
  <c r="C14" i="25" s="1"/>
  <c r="A18" i="5"/>
  <c r="N12" i="25" s="1"/>
  <c r="N12" i="26" s="1"/>
  <c r="A17" i="5"/>
  <c r="A16" i="5"/>
  <c r="N3" i="25" s="1"/>
  <c r="N3" i="26" s="1"/>
  <c r="A15" i="5"/>
  <c r="A14" i="5"/>
  <c r="A13" i="5"/>
  <c r="A12" i="5"/>
  <c r="A11" i="5"/>
  <c r="A10" i="5"/>
  <c r="A8" i="5"/>
  <c r="A7" i="5"/>
  <c r="A6" i="5"/>
  <c r="A5" i="5"/>
  <c r="C4" i="24" s="1"/>
  <c r="A4" i="5"/>
  <c r="A3" i="5"/>
  <c r="B10" i="11"/>
  <c r="B6" i="11"/>
  <c r="B8" i="11"/>
  <c r="B5" i="11"/>
  <c r="B7" i="11"/>
  <c r="B9" i="11"/>
  <c r="B11" i="11"/>
  <c r="C15" i="26" l="1"/>
  <c r="C15" i="27"/>
  <c r="D3" i="27"/>
  <c r="N12" i="27"/>
  <c r="C14" i="27"/>
  <c r="C14" i="26"/>
  <c r="N3" i="27"/>
  <c r="D12" i="25"/>
  <c r="D12" i="26" s="1"/>
  <c r="B3" i="27"/>
  <c r="M4" i="7"/>
  <c r="M4" i="24"/>
  <c r="K4" i="6"/>
  <c r="D2" i="6"/>
  <c r="D12" i="27" l="1"/>
</calcChain>
</file>

<file path=xl/sharedStrings.xml><?xml version="1.0" encoding="utf-8"?>
<sst xmlns="http://schemas.openxmlformats.org/spreadsheetml/2006/main" count="1026" uniqueCount="813">
  <si>
    <t>English</t>
  </si>
  <si>
    <t>Deutsch</t>
  </si>
  <si>
    <t>Customer's Needs</t>
  </si>
  <si>
    <t>Kundennutzen</t>
  </si>
  <si>
    <t>Business Drivers</t>
  </si>
  <si>
    <t>Erfolgsfaktoren</t>
  </si>
  <si>
    <t>Topics</t>
  </si>
  <si>
    <t>Themen</t>
  </si>
  <si>
    <t>Attributes</t>
  </si>
  <si>
    <t>Attribute</t>
  </si>
  <si>
    <t>Weight</t>
  </si>
  <si>
    <t>Gewicht</t>
  </si>
  <si>
    <t>Customer Segments</t>
  </si>
  <si>
    <t>Kundensegmente</t>
  </si>
  <si>
    <t xml:space="preserve"> after Introduction</t>
  </si>
  <si>
    <t xml:space="preserve"> nach Einführung</t>
  </si>
  <si>
    <t>Profile</t>
  </si>
  <si>
    <t>Profil</t>
  </si>
  <si>
    <t>Size</t>
  </si>
  <si>
    <t>Grösse</t>
  </si>
  <si>
    <t xml:space="preserve"> of </t>
  </si>
  <si>
    <t xml:space="preserve"> der </t>
  </si>
  <si>
    <t xml:space="preserve"> for </t>
  </si>
  <si>
    <t xml:space="preserve"> für </t>
  </si>
  <si>
    <t xml:space="preserve"> and </t>
  </si>
  <si>
    <t xml:space="preserve"> und </t>
  </si>
  <si>
    <t>Wirkprofil</t>
  </si>
  <si>
    <t>Needs Analysis Combinator</t>
  </si>
  <si>
    <t>Nutzensanalyse - Kombinator</t>
  </si>
  <si>
    <t>Convergence Gap</t>
  </si>
  <si>
    <t>Konvergenzfaktor</t>
  </si>
  <si>
    <t>Confidence Interval</t>
  </si>
  <si>
    <t>Vertrauensintervall</t>
  </si>
  <si>
    <t>Raw Profile</t>
  </si>
  <si>
    <t>Rohprofil</t>
  </si>
  <si>
    <t>Normalized Profile</t>
  </si>
  <si>
    <t>Normiertes Profil</t>
  </si>
  <si>
    <t>Solution Profile</t>
  </si>
  <si>
    <t>Lösungsprofil</t>
  </si>
  <si>
    <t>Count</t>
  </si>
  <si>
    <t>Anzahl</t>
  </si>
  <si>
    <t>No of references made</t>
  </si>
  <si>
    <t>Anzahl Nennungen</t>
  </si>
  <si>
    <t>Complaints &amp; Wishes</t>
  </si>
  <si>
    <t>Fragen &amp; Wünsche</t>
  </si>
  <si>
    <t>Reason for Buying</t>
  </si>
  <si>
    <t>Kaufgründe</t>
  </si>
  <si>
    <t>Reason for Using</t>
  </si>
  <si>
    <t>Gründe für die Benutzung</t>
  </si>
  <si>
    <t>Customer Questionnaire</t>
  </si>
  <si>
    <t>Kundenumfrage</t>
  </si>
  <si>
    <t>Not Important</t>
  </si>
  <si>
    <t>Unwichtig</t>
  </si>
  <si>
    <t>Nice To Have</t>
  </si>
  <si>
    <t>Interessant</t>
  </si>
  <si>
    <t>Important</t>
  </si>
  <si>
    <t>Wichtig</t>
  </si>
  <si>
    <t>Essential</t>
  </si>
  <si>
    <t>Entscheidend</t>
  </si>
  <si>
    <t>Poor</t>
  </si>
  <si>
    <t>Schlecht</t>
  </si>
  <si>
    <t>OK</t>
  </si>
  <si>
    <t>Genügend</t>
  </si>
  <si>
    <t>Good</t>
  </si>
  <si>
    <t>Gut</t>
  </si>
  <si>
    <t>Top</t>
  </si>
  <si>
    <t>Ausgezeichnet</t>
  </si>
  <si>
    <t>Score</t>
  </si>
  <si>
    <t>Wertung</t>
  </si>
  <si>
    <t>Market Share &amp; Competition</t>
  </si>
  <si>
    <t>Marktanteil &amp; Wettbewerb</t>
  </si>
  <si>
    <t>Market Share as of today</t>
  </si>
  <si>
    <t>Heutiger Marktanteil</t>
  </si>
  <si>
    <t>Market Share as expected</t>
  </si>
  <si>
    <t>Erwarteter Marktanteil</t>
  </si>
  <si>
    <t>Competitive Positioning</t>
  </si>
  <si>
    <t>Wettbewerbspositionierung</t>
  </si>
  <si>
    <t xml:space="preserve">Actual </t>
  </si>
  <si>
    <t xml:space="preserve">Heutiger </t>
  </si>
  <si>
    <t xml:space="preserve">Target </t>
  </si>
  <si>
    <t xml:space="preserve">Zukünftiger </t>
  </si>
  <si>
    <t>Advantage</t>
  </si>
  <si>
    <t>Vorteil</t>
  </si>
  <si>
    <t>Disadvantage</t>
  </si>
  <si>
    <t>Nachteil</t>
  </si>
  <si>
    <t>Better than Competition</t>
  </si>
  <si>
    <t>Besser als der Wettbewerb</t>
  </si>
  <si>
    <t>Competitive Disadvantage</t>
  </si>
  <si>
    <t>Wettbewerbsnachteil</t>
  </si>
  <si>
    <t>Our Raw Weight</t>
  </si>
  <si>
    <t>Unser Rohgewicht</t>
  </si>
  <si>
    <t>Competition Average Raw Weight</t>
  </si>
  <si>
    <t>Rohgewicht des Wettbewerbs</t>
  </si>
  <si>
    <t>Our Achievement Profile</t>
  </si>
  <si>
    <t>Profil unserer Wettbewerbsposition</t>
  </si>
  <si>
    <t>Competition's Achievement Profile</t>
  </si>
  <si>
    <t>Profil der Position des Wettbewerbs</t>
  </si>
  <si>
    <t>(relative to Market Strength)</t>
  </si>
  <si>
    <t>(relativ zur Marktstärke)</t>
  </si>
  <si>
    <t>Select Improvement Ratio</t>
  </si>
  <si>
    <t>Verbesserungsbedarf</t>
  </si>
  <si>
    <t>Our Adjusted Profile</t>
  </si>
  <si>
    <t xml:space="preserve">Unser verbessertes Profil </t>
  </si>
  <si>
    <t>Old Lanchester Profile (raw)</t>
  </si>
  <si>
    <t>Bisheriges Lanchester-Rohgewicht</t>
  </si>
  <si>
    <t>New Lanchester Profile</t>
  </si>
  <si>
    <t>Angestrebtes Lanchesterprofil</t>
  </si>
  <si>
    <t>Market Signal</t>
  </si>
  <si>
    <t>Marktsignal</t>
  </si>
  <si>
    <t>Market Preferences: Orange</t>
  </si>
  <si>
    <t>Marktpräferenz: Orange</t>
  </si>
  <si>
    <t>Competitive Solution: Yellow</t>
  </si>
  <si>
    <t>Wettbewerb: Gelb</t>
  </si>
  <si>
    <t>Productname: Dark Green</t>
  </si>
  <si>
    <t>Unser Produkt: Dunkles Grün</t>
  </si>
  <si>
    <t>New Target Solution: Green</t>
  </si>
  <si>
    <t>Unser verbessertes Profil: Grün</t>
  </si>
  <si>
    <t>Risks</t>
  </si>
  <si>
    <t>Risiken</t>
  </si>
  <si>
    <t>Opportunities</t>
  </si>
  <si>
    <t>Chancen</t>
  </si>
  <si>
    <t>Risk Profile</t>
  </si>
  <si>
    <t>Risikoprofil</t>
  </si>
  <si>
    <t>Management Adjustments</t>
  </si>
  <si>
    <t>Korrekturen durch das Management</t>
  </si>
  <si>
    <t>Sorted</t>
  </si>
  <si>
    <t>Sortiert</t>
  </si>
  <si>
    <t>Combined Profile</t>
  </si>
  <si>
    <t>Kombiniertes Profil</t>
  </si>
  <si>
    <t>Critical To Quality</t>
  </si>
  <si>
    <t>Kritische Qualitätseigenschaften</t>
  </si>
  <si>
    <t>Deployment Combinator</t>
  </si>
  <si>
    <t>Ausprägungskombinator</t>
  </si>
  <si>
    <t>Goal Profile</t>
  </si>
  <si>
    <t>Zielprofil</t>
  </si>
  <si>
    <t xml:space="preserve">Achieved Profile of </t>
  </si>
  <si>
    <t xml:space="preserve">Realprofil von </t>
  </si>
  <si>
    <t>Achieved Profile</t>
  </si>
  <si>
    <t>Realprofil</t>
  </si>
  <si>
    <t>Test Effectiveness</t>
  </si>
  <si>
    <t>Effekt. Abweichung</t>
  </si>
  <si>
    <t>Process Capability</t>
  </si>
  <si>
    <t>Prozessfähigkeit</t>
  </si>
  <si>
    <t>Suitable For Measurement</t>
  </si>
  <si>
    <t>Matrix brauchbar für Messungen</t>
  </si>
  <si>
    <t>Press here to check matrix</t>
  </si>
  <si>
    <t>Hier klicken um die Matrix zu prüfen</t>
  </si>
  <si>
    <t>Matrix is too complicated</t>
  </si>
  <si>
    <t>Matrix ist zu gross für Prüfung</t>
  </si>
  <si>
    <t>There are linear dependencies</t>
  </si>
  <si>
    <t>Matrix enthält lineare Abhängigkeiten</t>
  </si>
  <si>
    <t>Key Process Areas</t>
  </si>
  <si>
    <t>Hauptprozesse SW-Entwicklung</t>
  </si>
  <si>
    <t>Target Average CMM Level:</t>
  </si>
  <si>
    <t>Durchschnittliches CMM Zielniveau:</t>
  </si>
  <si>
    <t>Actual Average CMM Level</t>
  </si>
  <si>
    <t>CMM Aktuelles Niveau</t>
  </si>
  <si>
    <t>Set maximum CMM level for best process:</t>
  </si>
  <si>
    <t>Angestrebtes CMM-Niveau für den besten Prozess:</t>
  </si>
  <si>
    <t>Top Processes</t>
  </si>
  <si>
    <t>Wichtigste Entwicklungsprozesse</t>
  </si>
  <si>
    <t>Product Characteristics</t>
  </si>
  <si>
    <t>Produktmerkmale</t>
  </si>
  <si>
    <t>Business Scenarios</t>
  </si>
  <si>
    <t>Geschäftsvorfälle</t>
  </si>
  <si>
    <t>Features</t>
  </si>
  <si>
    <t>Funktionen</t>
  </si>
  <si>
    <t>With New Product</t>
  </si>
  <si>
    <t>mit neuem Produkt</t>
  </si>
  <si>
    <t xml:space="preserve">Perceived </t>
  </si>
  <si>
    <t xml:space="preserve">Wahrgenommene </t>
  </si>
  <si>
    <t xml:space="preserve"> Strength</t>
  </si>
  <si>
    <t xml:space="preserve"> Stärke</t>
  </si>
  <si>
    <t>Expected</t>
  </si>
  <si>
    <t>Erwartet</t>
  </si>
  <si>
    <t>Manual Entry</t>
  </si>
  <si>
    <t>Handeingabe</t>
  </si>
  <si>
    <t>Feature Test Methods</t>
  </si>
  <si>
    <t>Methoden für den Funktionstest</t>
  </si>
  <si>
    <t>Priority</t>
  </si>
  <si>
    <t>Priorität</t>
  </si>
  <si>
    <t>Gap</t>
  </si>
  <si>
    <t>Lücke</t>
  </si>
  <si>
    <t>Functionality (CFP) covered</t>
  </si>
  <si>
    <t>Geteste Functionalität (CFP)</t>
  </si>
  <si>
    <t>Anzahl gefundene Fehler</t>
  </si>
  <si>
    <t>Fehler pro 100 CFP</t>
  </si>
  <si>
    <t>Fehlerprofil</t>
  </si>
  <si>
    <t>Goal Test Coverage</t>
  </si>
  <si>
    <t>Angestrebte Testabdeckung</t>
  </si>
  <si>
    <t>Effektive Testabdeckung</t>
  </si>
  <si>
    <t>Measured Coverage</t>
  </si>
  <si>
    <t>Gemessene Testabdeckung</t>
  </si>
  <si>
    <t>Measured</t>
  </si>
  <si>
    <t>Gemessen</t>
  </si>
  <si>
    <t>Application Test Methods</t>
  </si>
  <si>
    <t>Methoden für den Anwendungstest</t>
  </si>
  <si>
    <t>Requirement</t>
  </si>
  <si>
    <t>Anforderung</t>
  </si>
  <si>
    <t>Acceptance Test Methods</t>
  </si>
  <si>
    <t>Methoden für den Abnahmetest</t>
  </si>
  <si>
    <t>Test Case Identifier</t>
  </si>
  <si>
    <t>Bezeichnung für den Testfall</t>
  </si>
  <si>
    <t>Ideal Profile</t>
  </si>
  <si>
    <t>Idealprofil</t>
  </si>
  <si>
    <t>Cost</t>
  </si>
  <si>
    <t>Kosten</t>
  </si>
  <si>
    <t>dependent from Function Points</t>
  </si>
  <si>
    <t>abhängig von Funktionspunkten</t>
  </si>
  <si>
    <t>Cost Profile</t>
  </si>
  <si>
    <t>Kostenprofil</t>
  </si>
  <si>
    <t>Kano Analysis</t>
  </si>
  <si>
    <t>Functional Sizing</t>
  </si>
  <si>
    <t>Funktionsumfang</t>
  </si>
  <si>
    <t>Response Profile</t>
  </si>
  <si>
    <t>Beobachtetes Profil</t>
  </si>
  <si>
    <t>Explained Profile</t>
  </si>
  <si>
    <t>Analysiertes Profil</t>
  </si>
  <si>
    <t>Yes</t>
  </si>
  <si>
    <t>Ja</t>
  </si>
  <si>
    <t>No</t>
  </si>
  <si>
    <t>Nein</t>
  </si>
  <si>
    <t>Call back -&gt; Customer enthusiastic</t>
  </si>
  <si>
    <t>Rückruf -&gt; Kunde begeistert</t>
  </si>
  <si>
    <t>Call back -&gt; Customer happy</t>
  </si>
  <si>
    <t>Rückruf -&gt; Kunde glücklich</t>
  </si>
  <si>
    <t>Call back -&gt; Customer satisfied</t>
  </si>
  <si>
    <t>Rückruf -&gt; Kunde zufrieden</t>
  </si>
  <si>
    <t>Call back -&gt; Escalation done</t>
  </si>
  <si>
    <t>Rückruf -&gt; Problem wurde eskaliert</t>
  </si>
  <si>
    <t>No action taken</t>
  </si>
  <si>
    <t>Nichts unternommen</t>
  </si>
  <si>
    <t>Measurement Confidence</t>
  </si>
  <si>
    <t>Vertrauensbereich Messung</t>
  </si>
  <si>
    <t>Percentile</t>
  </si>
  <si>
    <t>Perzentil</t>
  </si>
  <si>
    <t>Sheet Name:</t>
  </si>
  <si>
    <t>Start Col</t>
  </si>
  <si>
    <t>File:</t>
  </si>
  <si>
    <t>Interface to COSMIC Count</t>
  </si>
  <si>
    <t>Data Movements</t>
  </si>
  <si>
    <t>Name</t>
  </si>
  <si>
    <t>Label</t>
  </si>
  <si>
    <t>Data Movement Sub-Process Description</t>
  </si>
  <si>
    <t>E001</t>
  </si>
  <si>
    <t>X002</t>
  </si>
  <si>
    <t>W001</t>
  </si>
  <si>
    <t>R002</t>
  </si>
  <si>
    <t>R001</t>
  </si>
  <si>
    <t>X001</t>
  </si>
  <si>
    <t>Move Type</t>
  </si>
  <si>
    <t>Entry (E)</t>
  </si>
  <si>
    <t>eXit (X)</t>
  </si>
  <si>
    <t>Read (R)</t>
  </si>
  <si>
    <t>Write (W)</t>
  </si>
  <si>
    <t xml:space="preserve"> </t>
  </si>
  <si>
    <t>As a … [Functional User]</t>
  </si>
  <si>
    <t xml:space="preserve">I want to … [get something done] </t>
  </si>
  <si>
    <t>Such that …[quality characteristic]</t>
  </si>
  <si>
    <t>So that … [value or benefit]</t>
  </si>
  <si>
    <t>Measurements</t>
  </si>
  <si>
    <t>Market Segments</t>
  </si>
  <si>
    <t>Marktsegmente</t>
  </si>
  <si>
    <t>Effect. Deviation</t>
  </si>
  <si>
    <t>Kano Profile</t>
  </si>
  <si>
    <t>Kano-Profil</t>
  </si>
  <si>
    <t>Kano-Analyse</t>
  </si>
  <si>
    <t>AHP Analyse</t>
  </si>
  <si>
    <t>Test Coverage</t>
  </si>
  <si>
    <t>Developer's Comments</t>
  </si>
  <si>
    <t>Description</t>
  </si>
  <si>
    <t>L0 All Fine!</t>
  </si>
  <si>
    <t>L1 Wish</t>
  </si>
  <si>
    <t>L0 Alles OK!</t>
  </si>
  <si>
    <t>L1 Wunsch</t>
  </si>
  <si>
    <t>Resolved</t>
  </si>
  <si>
    <t>Under Test</t>
  </si>
  <si>
    <t>In Progress</t>
  </si>
  <si>
    <t>Deferred</t>
  </si>
  <si>
    <t>Waiting</t>
  </si>
  <si>
    <t>Behoben</t>
  </si>
  <si>
    <t>Im Test</t>
  </si>
  <si>
    <t>In Arbeit</t>
  </si>
  <si>
    <t>Zurückgestellt</t>
  </si>
  <si>
    <t>Wartend</t>
  </si>
  <si>
    <t>Confirmed</t>
  </si>
  <si>
    <t>Bestätigt</t>
  </si>
  <si>
    <t>L2 Minor</t>
  </si>
  <si>
    <t>L3 Important</t>
  </si>
  <si>
    <t>L4 Major</t>
  </si>
  <si>
    <t>L5 Fatal</t>
  </si>
  <si>
    <t>L2 Abweichung</t>
  </si>
  <si>
    <t>L3 Bedeutend</t>
  </si>
  <si>
    <t>L4 Störend</t>
  </si>
  <si>
    <t>Trigger</t>
  </si>
  <si>
    <t>Objects</t>
  </si>
  <si>
    <t>FunPros</t>
  </si>
  <si>
    <t>T01</t>
  </si>
  <si>
    <t>F001</t>
  </si>
  <si>
    <t>D001</t>
  </si>
  <si>
    <t>P001</t>
  </si>
  <si>
    <t>Test Cases</t>
  </si>
  <si>
    <t>Fehlermeldungen</t>
  </si>
  <si>
    <t>Bezeichnung</t>
  </si>
  <si>
    <t>Beschreibung</t>
  </si>
  <si>
    <t>Fehlerart</t>
  </si>
  <si>
    <t>Fehlerstatus</t>
  </si>
  <si>
    <t>Fehlerbehebung</t>
  </si>
  <si>
    <t>Entwicklerkommentare</t>
  </si>
  <si>
    <t>Testfälle</t>
  </si>
  <si>
    <t>Aufgedeckte Fehler</t>
  </si>
  <si>
    <t>Data Movements Affected</t>
  </si>
  <si>
    <t>Beobachtete Fehler</t>
  </si>
  <si>
    <t>Executing this Data Movement</t>
  </si>
  <si>
    <t>Defect Recording</t>
  </si>
  <si>
    <t>Defect Class</t>
  </si>
  <si>
    <t>Defect Status</t>
  </si>
  <si>
    <t>Defect Resolution</t>
  </si>
  <si>
    <t>Defects Observed</t>
  </si>
  <si>
    <t>Defects found</t>
  </si>
  <si>
    <t>Defects per 100 CFP</t>
  </si>
  <si>
    <t>Defect Profile</t>
  </si>
  <si>
    <t>Detecting Defects</t>
  </si>
  <si>
    <t>Defect Identification</t>
  </si>
  <si>
    <t>Fehleridentifikation</t>
  </si>
  <si>
    <t>Defect Count</t>
  </si>
  <si>
    <t>Fehlerzahl</t>
  </si>
  <si>
    <t>Defects Pending for Removal</t>
  </si>
  <si>
    <t>Offene, noch nicht behobene Fehler</t>
  </si>
  <si>
    <t>Defects Found in Total</t>
  </si>
  <si>
    <t>Gefundene Fehler insgesamt</t>
  </si>
  <si>
    <t>Defect Density</t>
  </si>
  <si>
    <t>Fehlerdichte</t>
  </si>
  <si>
    <t>Data Movements in Total</t>
  </si>
  <si>
    <t>Data Movements Covered by Test Cases</t>
  </si>
  <si>
    <t>Test Size</t>
  </si>
  <si>
    <t>Testgrösse</t>
  </si>
  <si>
    <t>Test Intensity</t>
  </si>
  <si>
    <t>Testintensität</t>
  </si>
  <si>
    <t>Testabdeckung</t>
  </si>
  <si>
    <t>Test Status Summary</t>
  </si>
  <si>
    <t>Language</t>
  </si>
  <si>
    <t>Sprache</t>
  </si>
  <si>
    <t xml:space="preserve">Convergence Range   </t>
  </si>
  <si>
    <t xml:space="preserve">Konvergenztoleranz                                </t>
  </si>
  <si>
    <t>Convergence Limit</t>
  </si>
  <si>
    <t>Konvergenzgrenze</t>
  </si>
  <si>
    <t>Achieved Coverage</t>
  </si>
  <si>
    <t>AHP Priorities</t>
  </si>
  <si>
    <t>AHP Prioritäten</t>
  </si>
  <si>
    <t>Ranking</t>
  </si>
  <si>
    <t>Reihenfolge</t>
  </si>
  <si>
    <t>welche diesen Datentransfer ausführen</t>
  </si>
  <si>
    <t>Betroffene Datentransfers</t>
  </si>
  <si>
    <t>Gesamtzahl Datentransfers</t>
  </si>
  <si>
    <t xml:space="preserve">Getestete Datentransfers </t>
  </si>
  <si>
    <t>Teststatus Zusammenfassung</t>
  </si>
  <si>
    <t>Importance</t>
  </si>
  <si>
    <t>Bedeutung</t>
  </si>
  <si>
    <t>Satisfaction</t>
  </si>
  <si>
    <t>Zufriedenheit</t>
  </si>
  <si>
    <t>Transfer Function</t>
  </si>
  <si>
    <t>Transferfunktion</t>
  </si>
  <si>
    <t>Combined from NPS Survey</t>
  </si>
  <si>
    <t>Kombiniert aus der NPS Umfrage</t>
  </si>
  <si>
    <t>Overall NPS</t>
  </si>
  <si>
    <t>NPS Gesamtresultat</t>
  </si>
  <si>
    <t>VoC Input</t>
  </si>
  <si>
    <t>Kunden Stimme</t>
  </si>
  <si>
    <t>Current Status</t>
  </si>
  <si>
    <t>Gegenwärtiger Zustand</t>
  </si>
  <si>
    <t>Planned Status</t>
  </si>
  <si>
    <t>Angestrebter Zustand</t>
  </si>
  <si>
    <t>Improvement Factor</t>
  </si>
  <si>
    <t>Verbesserungsfaktor</t>
  </si>
  <si>
    <t>Sales Points</t>
  </si>
  <si>
    <t>Attraktivität im Verkauf</t>
  </si>
  <si>
    <t>Importance Weight</t>
  </si>
  <si>
    <t>Gewicht der Bedeutung</t>
  </si>
  <si>
    <t>Planning Profile</t>
  </si>
  <si>
    <t>Planungsprofile</t>
  </si>
  <si>
    <t>AHP Summary</t>
  </si>
  <si>
    <t>AHP Zusammenfassung</t>
  </si>
  <si>
    <t>Local</t>
  </si>
  <si>
    <t>Lokal</t>
  </si>
  <si>
    <t>Global</t>
  </si>
  <si>
    <t>W001,E001</t>
  </si>
  <si>
    <t>Effort</t>
  </si>
  <si>
    <t>Aufwand</t>
  </si>
  <si>
    <t>Schnittstelle zu COSMIC Zählung</t>
  </si>
  <si>
    <t>Interface to Goal Profile</t>
  </si>
  <si>
    <t>Schnittstelle zu Zielprofil</t>
  </si>
  <si>
    <t>Development Team</t>
  </si>
  <si>
    <t>Entwicklungsteam</t>
  </si>
  <si>
    <t>Nickname</t>
  </si>
  <si>
    <t>Rufname</t>
  </si>
  <si>
    <t>Full Name</t>
  </si>
  <si>
    <t>Name und Vorname</t>
  </si>
  <si>
    <t>e-Mail</t>
  </si>
  <si>
    <t>E-mail</t>
  </si>
  <si>
    <t>Role</t>
  </si>
  <si>
    <t>Rolle</t>
  </si>
  <si>
    <t>Sponsors &amp; Stakeholders</t>
  </si>
  <si>
    <t>Sponsoren &amp; Betroffene</t>
  </si>
  <si>
    <t>not taking story cards</t>
  </si>
  <si>
    <t>können keine Story Card bearbeiten</t>
  </si>
  <si>
    <t>Responsible</t>
  </si>
  <si>
    <t>Verantwortlich</t>
  </si>
  <si>
    <t>Scheduled for</t>
  </si>
  <si>
    <t>Geplant für</t>
  </si>
  <si>
    <t>Developer</t>
  </si>
  <si>
    <t>Entwickler</t>
  </si>
  <si>
    <t>Data Movement</t>
  </si>
  <si>
    <t>Datentransfer</t>
  </si>
  <si>
    <t>Functional Coverage</t>
  </si>
  <si>
    <t>Funktionale Abdeckung</t>
  </si>
  <si>
    <t xml:space="preserve">Impact on </t>
  </si>
  <si>
    <t xml:space="preserve">Auswirkung auf </t>
  </si>
  <si>
    <t>Six Steps to Completion</t>
  </si>
  <si>
    <t>Sechs Schritte zur Fertigstellung</t>
  </si>
  <si>
    <t>Test ready</t>
  </si>
  <si>
    <t>Test vorhanden</t>
  </si>
  <si>
    <t>Draft ready</t>
  </si>
  <si>
    <t>Entwurf vorhanden</t>
  </si>
  <si>
    <t>Review done</t>
  </si>
  <si>
    <t>Prüfung bestanden</t>
  </si>
  <si>
    <t>Finalized</t>
  </si>
  <si>
    <t>Fertiggestellt</t>
  </si>
  <si>
    <t>Approved</t>
  </si>
  <si>
    <t>Freigegeben</t>
  </si>
  <si>
    <t>Functional</t>
  </si>
  <si>
    <t>Refactored</t>
  </si>
  <si>
    <t>Verbessert</t>
  </si>
  <si>
    <t>Last Update</t>
  </si>
  <si>
    <t>Letzte Änderung</t>
  </si>
  <si>
    <t>As a</t>
  </si>
  <si>
    <t>Als</t>
  </si>
  <si>
    <t>I want to</t>
  </si>
  <si>
    <t>will ich, dass</t>
  </si>
  <si>
    <t>such that</t>
  </si>
  <si>
    <t>so dass</t>
  </si>
  <si>
    <t>so that</t>
  </si>
  <si>
    <t>um</t>
  </si>
  <si>
    <t>[functional user]</t>
  </si>
  <si>
    <t>[funktionaler Nutzer]</t>
  </si>
  <si>
    <t>[get something done]</t>
  </si>
  <si>
    <t>[etwas geschieht]</t>
  </si>
  <si>
    <t>[quality characteristic]</t>
  </si>
  <si>
    <t>[verlangte Qualität]</t>
  </si>
  <si>
    <t>[value or benefit]</t>
  </si>
  <si>
    <t>[Nutzen zu erhalten]</t>
  </si>
  <si>
    <t>Completion Rate</t>
  </si>
  <si>
    <t>Vollendungsrate</t>
  </si>
  <si>
    <t>Completion Weights</t>
  </si>
  <si>
    <t>Vollendungsgewichte</t>
  </si>
  <si>
    <t>Start Date</t>
  </si>
  <si>
    <t>Startdatum</t>
  </si>
  <si>
    <t>Duration</t>
  </si>
  <si>
    <t>Dauer</t>
  </si>
  <si>
    <t>End Date</t>
  </si>
  <si>
    <t>Enddatum</t>
  </si>
  <si>
    <t>Completed</t>
  </si>
  <si>
    <t xml:space="preserve">Fertige </t>
  </si>
  <si>
    <t xml:space="preserve">No of </t>
  </si>
  <si>
    <t xml:space="preserve">Anzahl </t>
  </si>
  <si>
    <t>Q001</t>
  </si>
  <si>
    <t>Q002</t>
  </si>
  <si>
    <t>Q003</t>
  </si>
  <si>
    <t>User Stories</t>
  </si>
  <si>
    <t>Key Performance Indicators for Velocity</t>
  </si>
  <si>
    <t>Kennzahl für Entwicklungsgeschwindigkeit</t>
  </si>
  <si>
    <t>Completion velocity per workday</t>
  </si>
  <si>
    <t>Entwicklungsgeschwindigkeit Fertigstellung</t>
  </si>
  <si>
    <t>Functional Size velocity per workday</t>
  </si>
  <si>
    <t>Entwicklungsgeschwindigkeit Funktionalität</t>
  </si>
  <si>
    <t>Story Point velocity per workday</t>
  </si>
  <si>
    <t>Entwicklungsgeschwindigkeit Story Points</t>
  </si>
  <si>
    <t>..\QfdKitchenHelperAhp.xlsm</t>
  </si>
  <si>
    <t>Top Business Drivers</t>
  </si>
  <si>
    <t>A</t>
  </si>
  <si>
    <t>Grocery Shop</t>
  </si>
  <si>
    <t>A03</t>
  </si>
  <si>
    <t>Customer Loyalty</t>
  </si>
  <si>
    <t>B</t>
  </si>
  <si>
    <t>Cooking Community</t>
  </si>
  <si>
    <t>B01</t>
  </si>
  <si>
    <t>B02</t>
  </si>
  <si>
    <t>Promote Specialities</t>
  </si>
  <si>
    <t>C</t>
  </si>
  <si>
    <t>Kitchen Constructor</t>
  </si>
  <si>
    <t>C02</t>
  </si>
  <si>
    <t>Willing to Recommend</t>
  </si>
  <si>
    <t>D</t>
  </si>
  <si>
    <t>Kitchen User</t>
  </si>
  <si>
    <t>D01</t>
  </si>
  <si>
    <t>Surprise Friends</t>
  </si>
  <si>
    <t>D04</t>
  </si>
  <si>
    <t>Customer come back</t>
  </si>
  <si>
    <t>Find special food</t>
  </si>
  <si>
    <t>Be special</t>
  </si>
  <si>
    <t>Make it essential</t>
  </si>
  <si>
    <t>Recipes promote high-yield food</t>
  </si>
  <si>
    <t>A special kitchen</t>
  </si>
  <si>
    <t>Feel cool</t>
  </si>
  <si>
    <t>Kitchen helper helps!</t>
  </si>
  <si>
    <t>Earn praise</t>
  </si>
  <si>
    <t>Make friends envious</t>
  </si>
  <si>
    <t>..\QfdKitchenHelper.xlsm</t>
  </si>
  <si>
    <t>Collect Recipes</t>
  </si>
  <si>
    <t>collect recipes</t>
  </si>
  <si>
    <t>I can select one that interests me</t>
  </si>
  <si>
    <t>my family and guests are impressed</t>
  </si>
  <si>
    <t>Identify Food</t>
  </si>
  <si>
    <t>identify food components</t>
  </si>
  <si>
    <t>the recipes use correct components</t>
  </si>
  <si>
    <t>Search Recipes</t>
  </si>
  <si>
    <t>find new recipes</t>
  </si>
  <si>
    <t>Q004</t>
  </si>
  <si>
    <t>Manage Inventory</t>
  </si>
  <si>
    <t>know what's in my kitchen</t>
  </si>
  <si>
    <t>I can get rid of obsolescent food</t>
  </si>
  <si>
    <t>before it decays</t>
  </si>
  <si>
    <t>Q005</t>
  </si>
  <si>
    <t>Shopping List</t>
  </si>
  <si>
    <t>get a shopping list</t>
  </si>
  <si>
    <t>I buy everything that's needed</t>
  </si>
  <si>
    <t>I can cook my recipe</t>
  </si>
  <si>
    <t>Q006</t>
  </si>
  <si>
    <t>Cooking Process</t>
  </si>
  <si>
    <t>start cooking</t>
  </si>
  <si>
    <t>my appliances know what I'm doing</t>
  </si>
  <si>
    <t>the can help me doing it right</t>
  </si>
  <si>
    <t>Q007</t>
  </si>
  <si>
    <t>Process Control</t>
  </si>
  <si>
    <t>execute the cooking process</t>
  </si>
  <si>
    <t>heat and treatment is correct</t>
  </si>
  <si>
    <t>boiling pans don't overspill</t>
  </si>
  <si>
    <t>Q008</t>
  </si>
  <si>
    <t>Remember</t>
  </si>
  <si>
    <t>remember what I cooked last time</t>
  </si>
  <si>
    <t>for my family or guests</t>
  </si>
  <si>
    <t>they won't get weary of my recipes</t>
  </si>
  <si>
    <t>E002</t>
  </si>
  <si>
    <t>E003</t>
  </si>
  <si>
    <t>E004</t>
  </si>
  <si>
    <t>X003</t>
  </si>
  <si>
    <t>E005</t>
  </si>
  <si>
    <t>X004</t>
  </si>
  <si>
    <t>E006</t>
  </si>
  <si>
    <t>W002</t>
  </si>
  <si>
    <t>X005</t>
  </si>
  <si>
    <t>E007</t>
  </si>
  <si>
    <t>W003</t>
  </si>
  <si>
    <t>R003</t>
  </si>
  <si>
    <t>E008</t>
  </si>
  <si>
    <t>W004</t>
  </si>
  <si>
    <t>X006</t>
  </si>
  <si>
    <t>E009</t>
  </si>
  <si>
    <t>W005</t>
  </si>
  <si>
    <t>R004</t>
  </si>
  <si>
    <t>X007</t>
  </si>
  <si>
    <t>E010</t>
  </si>
  <si>
    <t>R005</t>
  </si>
  <si>
    <t>R006</t>
  </si>
  <si>
    <t>X008</t>
  </si>
  <si>
    <t>E011</t>
  </si>
  <si>
    <t>E012</t>
  </si>
  <si>
    <t>W006</t>
  </si>
  <si>
    <t>R007</t>
  </si>
  <si>
    <t>X009</t>
  </si>
  <si>
    <t>R008</t>
  </si>
  <si>
    <t>R009</t>
  </si>
  <si>
    <t>E013</t>
  </si>
  <si>
    <t>W007</t>
  </si>
  <si>
    <t>E014</t>
  </si>
  <si>
    <t>R010</t>
  </si>
  <si>
    <t>R011</t>
  </si>
  <si>
    <t>R012</t>
  </si>
  <si>
    <t>X010</t>
  </si>
  <si>
    <t>E015</t>
  </si>
  <si>
    <t>W008</t>
  </si>
  <si>
    <t>X011</t>
  </si>
  <si>
    <t>E016</t>
  </si>
  <si>
    <t>X012</t>
  </si>
  <si>
    <t>E017</t>
  </si>
  <si>
    <t>X013</t>
  </si>
  <si>
    <t>E018</t>
  </si>
  <si>
    <t>X014</t>
  </si>
  <si>
    <t>E019</t>
  </si>
  <si>
    <t>X015</t>
  </si>
  <si>
    <t>E020</t>
  </si>
  <si>
    <t>X016</t>
  </si>
  <si>
    <t>W009</t>
  </si>
  <si>
    <t>E021</t>
  </si>
  <si>
    <t>R013</t>
  </si>
  <si>
    <t>X017</t>
  </si>
  <si>
    <t>Enter New Recipe</t>
  </si>
  <si>
    <t>Store Recipe</t>
  </si>
  <si>
    <t>Read Recipe</t>
  </si>
  <si>
    <t>Modify Recipe</t>
  </si>
  <si>
    <t>Delete Recipe</t>
  </si>
  <si>
    <t>Show Recipe</t>
  </si>
  <si>
    <t>Recipe Statistics</t>
  </si>
  <si>
    <t>Search Recipe</t>
  </si>
  <si>
    <t>Matching Recipes</t>
  </si>
  <si>
    <t>Propose Recipes</t>
  </si>
  <si>
    <t>Select Recipes</t>
  </si>
  <si>
    <t>Store Recipes</t>
  </si>
  <si>
    <t>Browse Recipes</t>
  </si>
  <si>
    <t>Show Recipes</t>
  </si>
  <si>
    <t>Search for Food</t>
  </si>
  <si>
    <t>Search for Food ID</t>
  </si>
  <si>
    <t>Food ID Match</t>
  </si>
  <si>
    <t>Store Food</t>
  </si>
  <si>
    <t>Food ID</t>
  </si>
  <si>
    <t>Manage Food</t>
  </si>
  <si>
    <t>Store Attributes</t>
  </si>
  <si>
    <t>Show Attributes</t>
  </si>
  <si>
    <t>Request Shopping List</t>
  </si>
  <si>
    <t>Food Inventory</t>
  </si>
  <si>
    <t>Recipe Food Components</t>
  </si>
  <si>
    <t>Issue Shopping List</t>
  </si>
  <si>
    <t>Record Shopping</t>
  </si>
  <si>
    <t>Store Shopping</t>
  </si>
  <si>
    <t>List Inventory</t>
  </si>
  <si>
    <t>Show Inventory</t>
  </si>
  <si>
    <t>Expired?</t>
  </si>
  <si>
    <t>Shelf life</t>
  </si>
  <si>
    <t>Remove from Inventory</t>
  </si>
  <si>
    <t>Select Recipe</t>
  </si>
  <si>
    <t>Get Recipe</t>
  </si>
  <si>
    <t>Get Food Attributes</t>
  </si>
  <si>
    <t>Check Inventory</t>
  </si>
  <si>
    <t>Plan Cooking Process</t>
  </si>
  <si>
    <t>Execute Cooking Process</t>
  </si>
  <si>
    <t>Update Inventory</t>
  </si>
  <si>
    <t>Start Monitoring</t>
  </si>
  <si>
    <t>Monitor</t>
  </si>
  <si>
    <t>Control Heat</t>
  </si>
  <si>
    <t>Report Status</t>
  </si>
  <si>
    <t>Alert Cook</t>
  </si>
  <si>
    <t>Adapt Process</t>
  </si>
  <si>
    <t>Calculate Nutrition Facts</t>
  </si>
  <si>
    <t>Record Cooked Recipe</t>
  </si>
  <si>
    <t>Recall Cooked Recipe</t>
  </si>
  <si>
    <t>Recall Cooked Recipes</t>
  </si>
  <si>
    <t>Show Cooked Recipes</t>
  </si>
  <si>
    <t>Recipe consisting of ingredients, preparation, and cooking process steps</t>
  </si>
  <si>
    <t>Save it in the recipe database of the Recipe Site</t>
  </si>
  <si>
    <t>Based on identification</t>
  </si>
  <si>
    <t>Amend recipe data</t>
  </si>
  <si>
    <t>Remove recipe from recipe database</t>
  </si>
  <si>
    <t>Suitable for cooking and the kitchen environment</t>
  </si>
  <si>
    <t>Shows how many recipes are available in which categories</t>
  </si>
  <si>
    <t>Search for new recipes</t>
  </si>
  <si>
    <t>Ask the Recipe Portal</t>
  </si>
  <si>
    <t>Find a match</t>
  </si>
  <si>
    <t>from group of proposed recipes</t>
  </si>
  <si>
    <t>Store new or changed recipe in the recipe database</t>
  </si>
  <si>
    <t>Search food by attributes</t>
  </si>
  <si>
    <t>List of matching food items</t>
  </si>
  <si>
    <t>Identify food component</t>
  </si>
  <si>
    <t>Store food component</t>
  </si>
  <si>
    <t xml:space="preserve">Identifies the food </t>
  </si>
  <si>
    <t>Change attributes of food components as needed</t>
  </si>
  <si>
    <t>Store new or changed attributes in the food database</t>
  </si>
  <si>
    <t>Show new or changed attributes in the food database</t>
  </si>
  <si>
    <t>Show new or changed attributes in the kitchen user</t>
  </si>
  <si>
    <t>All food required to cook a recipe</t>
  </si>
  <si>
    <t>Contains all items for cooking a collection of recipes in addition to what's already on inventory</t>
  </si>
  <si>
    <t>Record new or changed shopping list in the grocery shop</t>
  </si>
  <si>
    <t>If food cannot be recognized by sensors, enter it manually</t>
  </si>
  <si>
    <t>Show new or changed inventory in the kitchen user</t>
  </si>
  <si>
    <t>Time to expiration date</t>
  </si>
  <si>
    <t>For cooking</t>
  </si>
  <si>
    <t>Get new or changed attributes in the food database</t>
  </si>
  <si>
    <t>Start monitoring the kitchen controls</t>
  </si>
  <si>
    <t>Monitor the kitchen controls</t>
  </si>
  <si>
    <t>Monitor boiling heat</t>
  </si>
  <si>
    <t>Report status in the boiling plates</t>
  </si>
  <si>
    <t>Monitor oven &amp; steamer</t>
  </si>
  <si>
    <t>Control boiling heat</t>
  </si>
  <si>
    <t>Report status in the oven &amp; steamer</t>
  </si>
  <si>
    <t>Alert cook when something seems unexpected</t>
  </si>
  <si>
    <t>Show the food facts</t>
  </si>
  <si>
    <t>Record new co changed recipe in the recipe log</t>
  </si>
  <si>
    <t>List of all used recipes</t>
  </si>
  <si>
    <t>Show recipes used by the kitchen user</t>
  </si>
  <si>
    <t>T02</t>
  </si>
  <si>
    <t>T03</t>
  </si>
  <si>
    <t>T04</t>
  </si>
  <si>
    <t>T05</t>
  </si>
  <si>
    <t>T06</t>
  </si>
  <si>
    <t>T08</t>
  </si>
  <si>
    <t>T07</t>
  </si>
  <si>
    <t>F002</t>
  </si>
  <si>
    <t>F003</t>
  </si>
  <si>
    <t>F004</t>
  </si>
  <si>
    <t>A001</t>
  </si>
  <si>
    <t>P002</t>
  </si>
  <si>
    <t>P003</t>
  </si>
  <si>
    <t>A002</t>
  </si>
  <si>
    <t>A003</t>
  </si>
  <si>
    <t>A004</t>
  </si>
  <si>
    <t>A005</t>
  </si>
  <si>
    <t>P004</t>
  </si>
  <si>
    <t>X007,R006,R005,E010</t>
  </si>
  <si>
    <t>X017,R001,W001</t>
  </si>
  <si>
    <t>E004,X003,E005,X002,R001</t>
  </si>
  <si>
    <t>X007,E010,X003,E005,X002,E004</t>
  </si>
  <si>
    <t>X009,R007,W006,E011,X008</t>
  </si>
  <si>
    <t>E015,R010,R009,X009</t>
  </si>
  <si>
    <t>X005,W004,E008,R003,W003,E007</t>
  </si>
  <si>
    <t>E008,R003,W003,E007</t>
  </si>
  <si>
    <t>R003,W003,E007,X005,R001</t>
  </si>
  <si>
    <t>X005,R002</t>
  </si>
  <si>
    <t>X016,R011,E022,W009</t>
  </si>
  <si>
    <t>X016,R011,E022,W009,X015,E021</t>
  </si>
  <si>
    <t>X016,R011,E022</t>
  </si>
  <si>
    <t>X007,E010</t>
  </si>
  <si>
    <t>X006,R004</t>
  </si>
  <si>
    <t>X016,E021,X014,W008,E016</t>
  </si>
  <si>
    <t>E014,X010</t>
  </si>
  <si>
    <t>X010,R010,R009,E014</t>
  </si>
  <si>
    <t>R006,R005,E010,X007</t>
  </si>
  <si>
    <t>X016,E010,X007,E006,X004,E004</t>
  </si>
  <si>
    <t>X007,R004,W005,E009,X006</t>
  </si>
  <si>
    <t>E010,X007</t>
  </si>
  <si>
    <t>R013,X017,W009</t>
  </si>
  <si>
    <t>X004,E005,X003,E004</t>
  </si>
  <si>
    <t>X004,E005,X003,E004,X017,,X016</t>
  </si>
  <si>
    <t>X005,R002,W002,E006,X004,E005,X003,E004,X002</t>
  </si>
  <si>
    <t>X017,X016,E014</t>
  </si>
  <si>
    <t>X017,X016,X015,E019,X014,E016,X011,E015</t>
  </si>
  <si>
    <t>X015,E019,X014,E018,X013,E017,X012,E016,X011,E015</t>
  </si>
  <si>
    <t>X016,E014,X009,R007,W006,E012</t>
  </si>
  <si>
    <t>Collect New Recipes</t>
  </si>
  <si>
    <t>Get High Esteem</t>
  </si>
  <si>
    <t>Business Impact</t>
  </si>
  <si>
    <t>Auswirkung auf den Erfolg</t>
  </si>
  <si>
    <t>Funktional</t>
  </si>
  <si>
    <t xml:space="preserve">Total </t>
  </si>
  <si>
    <t xml:space="preserve">Gesamtzahl </t>
  </si>
  <si>
    <t>Effort Prediction</t>
  </si>
  <si>
    <t>Aufwandprognose</t>
  </si>
  <si>
    <t>StP for FUR</t>
  </si>
  <si>
    <t>StP für FUR</t>
  </si>
  <si>
    <t>StP for NFR</t>
  </si>
  <si>
    <t>StP für NFR</t>
  </si>
  <si>
    <t>Vision Functional Size</t>
  </si>
  <si>
    <t>Funktionale Grösse der Vision</t>
  </si>
  <si>
    <t>Total Functionality Implemented</t>
  </si>
  <si>
    <t>Implementierte Funktionalität</t>
  </si>
  <si>
    <t>Average Refactoring Count</t>
  </si>
  <si>
    <t>Refactoring im Durchschnitt</t>
  </si>
  <si>
    <t>Story Points</t>
  </si>
  <si>
    <t>Overall Duration</t>
  </si>
  <si>
    <t>Gesamtdauer</t>
  </si>
  <si>
    <t>Hours per Day</t>
  </si>
  <si>
    <t>Arbeitsstunden pro Tag</t>
  </si>
  <si>
    <t>Project Delivery Rate (PDR)</t>
  </si>
  <si>
    <t>Projektleistungsrate (PDR)</t>
  </si>
  <si>
    <t>NFR Extension Factor (CFP/Impact)</t>
  </si>
  <si>
    <t>NFR Ausweitungsfaktor (CFP/Impakt)</t>
  </si>
  <si>
    <t>Impact</t>
  </si>
  <si>
    <t>Impakt</t>
  </si>
  <si>
    <t xml:space="preserve">Predicted </t>
  </si>
  <si>
    <t xml:space="preserve">Prognose </t>
  </si>
  <si>
    <t>Reference</t>
  </si>
  <si>
    <t>Referenz</t>
  </si>
  <si>
    <t>Manual</t>
  </si>
  <si>
    <t>Manuell</t>
  </si>
  <si>
    <t>Selected</t>
  </si>
  <si>
    <t>Ausgewählt</t>
  </si>
  <si>
    <t>Team Power</t>
  </si>
  <si>
    <t>Teamstärke</t>
  </si>
  <si>
    <t>Average Sprint Duration</t>
  </si>
  <si>
    <t>Surchschnittliche Sprint-Dauer</t>
  </si>
  <si>
    <t>Functionality</t>
  </si>
  <si>
    <t>Funktionalität</t>
  </si>
  <si>
    <t>Non-functional</t>
  </si>
  <si>
    <t>Nicht funktional</t>
  </si>
  <si>
    <t>FUR Size</t>
  </si>
  <si>
    <t>FUR Grösse</t>
  </si>
  <si>
    <t>NFR Size</t>
  </si>
  <si>
    <t>NFR Grösse</t>
  </si>
  <si>
    <t>Hours</t>
  </si>
  <si>
    <t>Stunden</t>
  </si>
  <si>
    <t>Project</t>
  </si>
  <si>
    <t>Projekt</t>
  </si>
  <si>
    <t>X006,W004,E008,R003,W003,E007,X005</t>
  </si>
  <si>
    <t>X007,R004,W005,E009,X006,X001,R001,W001,E001</t>
  </si>
  <si>
    <t>my shopping list is accurate</t>
  </si>
  <si>
    <t>Set Expiration Date</t>
  </si>
  <si>
    <t>Propose the recipes that match the selection criteria</t>
  </si>
  <si>
    <t>Browse new or changed recipe in the recipe database</t>
  </si>
  <si>
    <t>Show new or changed recipe in the kitchen user</t>
  </si>
  <si>
    <t>Search food by its ID</t>
  </si>
  <si>
    <t>Request a shopping list that contains everything needed for cooking a collection of recipes without buying extra stuff</t>
  </si>
  <si>
    <t>Food new or changed invent in the inventory database</t>
  </si>
  <si>
    <t>Store new or changed food items in the inventory</t>
  </si>
  <si>
    <t>List new or changed inventory in the inventory</t>
  </si>
  <si>
    <t>Actual shelf life for this food item</t>
  </si>
  <si>
    <t>Show new or changed expiration date to kitchen user</t>
  </si>
  <si>
    <t>Remove new or changed food items in the inventory</t>
  </si>
  <si>
    <t>Get recipe as selected for cooking</t>
  </si>
  <si>
    <t>Check new or changed food items in the inventory</t>
  </si>
  <si>
    <t>Plan new or changed process</t>
  </si>
  <si>
    <t>Execute new or changed process</t>
  </si>
  <si>
    <t>Update new or changed food items in the inventory</t>
  </si>
  <si>
    <t>Start monitoring oven &amp; steamer</t>
  </si>
  <si>
    <t>Change parameters if necessary</t>
  </si>
  <si>
    <t>Remember what you cooked last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</si>
</sst>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."/>
    <numFmt numFmtId="165" formatCode="0.0"/>
    <numFmt numFmtId="166" formatCode="0."/>
    <numFmt numFmtId="167" formatCode="_(* #,##0.00_);_(* \(#,##0.00\);_(* &quot;-&quot;??_);_(@_)"/>
    <numFmt numFmtId="168" formatCode="_(&quot;£&quot;* #,##0.00_);_(&quot;£&quot;* \(#,##0.00\);_(&quot;£&quot;* &quot;-&quot;??_);_(@_)"/>
    <numFmt numFmtId="169" formatCode="_-[$€-2]* #,##0.00_-;\-[$€-2]* #,##0.00_-;_-[$€-2]* &quot;-&quot;??_-"/>
    <numFmt numFmtId="170" formatCode="0;\-0;"/>
    <numFmt numFmtId="171" formatCode="0&quot;)&quot;"/>
    <numFmt numFmtId="172" formatCode="0;0;"/>
    <numFmt numFmtId="173" formatCode="yyyy\-mm\-dd;@"/>
  </numFmts>
  <fonts count="73">
    <font>
      <sz val="8"/>
      <name val="Arial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sz val="8"/>
      <name val="Arial"/>
      <family val="2"/>
    </font>
    <font>
      <b/>
      <sz val="12"/>
      <name val="Arial Narrow"/>
      <family val="2"/>
    </font>
    <font>
      <i/>
      <sz val="12"/>
      <name val="Arial Narrow"/>
      <family val="2"/>
    </font>
    <font>
      <b/>
      <i/>
      <sz val="12"/>
      <name val="Arial Narrow"/>
      <family val="2"/>
    </font>
    <font>
      <b/>
      <i/>
      <sz val="14"/>
      <name val="Arial Narrow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sz val="10"/>
      <color indexed="8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51"/>
      <name val="Mangal"/>
      <family val="2"/>
    </font>
    <font>
      <sz val="10"/>
      <color indexed="60"/>
      <name val="Mangal"/>
      <family val="2"/>
    </font>
    <font>
      <sz val="10"/>
      <color indexed="26"/>
      <name val="Mangal"/>
      <family val="2"/>
    </font>
    <font>
      <sz val="10"/>
      <name val="Mangal"/>
      <family val="2"/>
    </font>
    <font>
      <sz val="11"/>
      <color indexed="10"/>
      <name val="Calibri"/>
      <family val="2"/>
    </font>
    <font>
      <b/>
      <i/>
      <sz val="12"/>
      <color indexed="17"/>
      <name val="Arial Narrow"/>
      <family val="2"/>
    </font>
    <font>
      <i/>
      <sz val="11"/>
      <color indexed="17"/>
      <name val="Arial Narrow"/>
      <family val="2"/>
    </font>
    <font>
      <sz val="12"/>
      <color indexed="17"/>
      <name val="Arial Narrow"/>
      <family val="2"/>
    </font>
    <font>
      <sz val="11"/>
      <color indexed="17"/>
      <name val="Arial Narrow"/>
      <family val="2"/>
    </font>
    <font>
      <sz val="11"/>
      <name val="Arial Narrow"/>
      <family val="2"/>
    </font>
    <font>
      <i/>
      <sz val="8"/>
      <color indexed="55"/>
      <name val="Arial Narrow"/>
      <family val="2"/>
    </font>
    <font>
      <sz val="20"/>
      <name val="Modern No. 20"/>
      <family val="1"/>
    </font>
    <font>
      <i/>
      <sz val="12"/>
      <color indexed="18"/>
      <name val="Arial Narrow"/>
      <family val="2"/>
    </font>
    <font>
      <sz val="10"/>
      <name val="Arial Narrow"/>
      <family val="2"/>
    </font>
    <font>
      <i/>
      <sz val="11"/>
      <name val="Arial Narrow"/>
      <family val="2"/>
    </font>
    <font>
      <i/>
      <sz val="10"/>
      <name val="Arial Narrow"/>
      <family val="2"/>
    </font>
    <font>
      <i/>
      <sz val="8"/>
      <name val="Arial Narrow"/>
      <family val="2"/>
    </font>
    <font>
      <b/>
      <i/>
      <sz val="12"/>
      <color theme="0"/>
      <name val="Arial Narrow"/>
      <family val="2"/>
    </font>
    <font>
      <b/>
      <i/>
      <sz val="14"/>
      <color theme="0"/>
      <name val="Arial Narrow"/>
      <family val="2"/>
    </font>
    <font>
      <b/>
      <i/>
      <sz val="10"/>
      <color indexed="12"/>
      <name val="Arial"/>
      <family val="2"/>
    </font>
    <font>
      <b/>
      <sz val="10"/>
      <color indexed="10"/>
      <name val="Arial"/>
      <family val="2"/>
    </font>
    <font>
      <i/>
      <sz val="8"/>
      <color indexed="15"/>
      <name val="Arial"/>
      <family val="2"/>
    </font>
    <font>
      <sz val="12"/>
      <color theme="1"/>
      <name val="Arial Narrow"/>
      <family val="2"/>
    </font>
    <font>
      <sz val="8"/>
      <color theme="1"/>
      <name val="Arial Narrow"/>
      <family val="2"/>
    </font>
    <font>
      <b/>
      <i/>
      <sz val="8"/>
      <name val="Arial"/>
      <family val="2"/>
    </font>
    <font>
      <b/>
      <sz val="11"/>
      <color theme="0"/>
      <name val="Arial Narrow"/>
      <family val="2"/>
    </font>
    <font>
      <b/>
      <i/>
      <sz val="10"/>
      <name val="Arial Narrow"/>
      <family val="2"/>
    </font>
    <font>
      <i/>
      <sz val="8"/>
      <color theme="0" tint="-0.34998626667073579"/>
      <name val="Arial Narrow"/>
      <family val="2"/>
    </font>
    <font>
      <sz val="10"/>
      <name val="Arial Narrow"/>
      <family val="2"/>
    </font>
    <font>
      <sz val="10"/>
      <color theme="0"/>
      <name val="Arial Narrow"/>
      <family val="2"/>
    </font>
    <font>
      <b/>
      <i/>
      <sz val="16"/>
      <color theme="0"/>
      <name val="Arial Narrow"/>
      <family val="2"/>
    </font>
    <font>
      <b/>
      <sz val="10"/>
      <color theme="0"/>
      <name val="Arial Narrow"/>
      <family val="2"/>
    </font>
    <font>
      <b/>
      <i/>
      <sz val="10"/>
      <color theme="1" tint="0.249977111117893"/>
      <name val="Arial Narrow"/>
      <family val="2"/>
    </font>
    <font>
      <b/>
      <sz val="10"/>
      <name val="Arial Narrow"/>
      <family val="2"/>
    </font>
    <font>
      <sz val="8"/>
      <name val="Arial Narrow"/>
      <family val="2"/>
    </font>
    <font>
      <i/>
      <sz val="8"/>
      <color theme="1" tint="0.249977111117893"/>
      <name val="Arial Narrow"/>
      <family val="2"/>
    </font>
    <font>
      <sz val="12"/>
      <color indexed="9"/>
      <name val="Arial Narrow"/>
      <family val="2"/>
    </font>
    <font>
      <b/>
      <i/>
      <sz val="12"/>
      <color indexed="21"/>
      <name val="Arial Narrow"/>
      <family val="2"/>
    </font>
    <font>
      <b/>
      <i/>
      <sz val="11"/>
      <name val="Arial Narrow"/>
      <family val="2"/>
    </font>
    <font>
      <sz val="12"/>
      <color theme="0"/>
      <name val="Arial Narrow"/>
      <family val="2"/>
    </font>
    <font>
      <i/>
      <sz val="12"/>
      <color theme="0"/>
      <name val="Arial Narrow"/>
      <family val="2"/>
    </font>
    <font>
      <sz val="12"/>
      <name val="Arial"/>
      <family val="2"/>
    </font>
    <font>
      <i/>
      <sz val="12"/>
      <color theme="1" tint="0.249977111117893"/>
      <name val="Arial Narrow"/>
      <family val="2"/>
    </font>
    <font>
      <sz val="11"/>
      <name val="Arial"/>
      <family val="2"/>
    </font>
    <font>
      <i/>
      <sz val="8"/>
      <color theme="0"/>
      <name val="Arial Narrow"/>
      <family val="2"/>
    </font>
    <font>
      <b/>
      <i/>
      <sz val="8"/>
      <name val="Arial Narrow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0"/>
        <bgColor indexed="60"/>
      </patternFill>
    </fill>
    <fill>
      <patternFill patternType="solid">
        <fgColor indexed="43"/>
        <bgColor indexed="26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mediumGray">
        <fgColor indexed="9"/>
        <bgColor theme="0"/>
      </patternFill>
    </fill>
    <fill>
      <patternFill patternType="mediumGray">
        <fgColor indexed="9"/>
        <bgColor theme="4" tint="0.79998168889431442"/>
      </patternFill>
    </fill>
  </fills>
  <borders count="123">
    <border>
      <left/>
      <right/>
      <top/>
      <bottom/>
      <diagonal/>
    </border>
    <border>
      <left/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medium">
        <color indexed="23"/>
      </bottom>
      <diagonal/>
    </border>
    <border>
      <left style="thin">
        <color indexed="23"/>
      </left>
      <right style="hair">
        <color indexed="23"/>
      </right>
      <top/>
      <bottom style="medium">
        <color indexed="23"/>
      </bottom>
      <diagonal/>
    </border>
    <border>
      <left style="medium">
        <color indexed="23"/>
      </left>
      <right style="hair">
        <color indexed="23"/>
      </right>
      <top/>
      <bottom style="medium">
        <color indexed="23"/>
      </bottom>
      <diagonal/>
    </border>
    <border>
      <left style="thin">
        <color indexed="23"/>
      </left>
      <right/>
      <top/>
      <bottom style="medium">
        <color indexed="23"/>
      </bottom>
      <diagonal/>
    </border>
    <border>
      <left/>
      <right style="medium">
        <color indexed="23"/>
      </right>
      <top/>
      <bottom/>
      <diagonal/>
    </border>
    <border>
      <left style="medium">
        <color indexed="23"/>
      </left>
      <right/>
      <top/>
      <bottom/>
      <diagonal/>
    </border>
    <border>
      <left style="hair">
        <color indexed="23"/>
      </left>
      <right/>
      <top/>
      <bottom/>
      <diagonal/>
    </border>
    <border>
      <left style="thin">
        <color indexed="23"/>
      </left>
      <right style="hair">
        <color indexed="23"/>
      </right>
      <top/>
      <bottom/>
      <diagonal/>
    </border>
    <border>
      <left/>
      <right style="hair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 style="medium">
        <color indexed="23"/>
      </right>
      <top style="medium">
        <color indexed="23"/>
      </top>
      <bottom/>
      <diagonal/>
    </border>
    <border>
      <left style="medium">
        <color indexed="23"/>
      </left>
      <right/>
      <top style="medium">
        <color indexed="23"/>
      </top>
      <bottom/>
      <diagonal/>
    </border>
    <border>
      <left/>
      <right style="medium">
        <color indexed="23"/>
      </right>
      <top style="hair">
        <color indexed="23"/>
      </top>
      <bottom/>
      <diagonal/>
    </border>
    <border>
      <left/>
      <right style="medium">
        <color indexed="23"/>
      </right>
      <top style="thin">
        <color indexed="23"/>
      </top>
      <bottom style="hair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/>
      <diagonal/>
    </border>
    <border>
      <left style="hair">
        <color indexed="23"/>
      </left>
      <right style="medium">
        <color indexed="23"/>
      </right>
      <top style="hair">
        <color indexed="23"/>
      </top>
      <bottom style="medium">
        <color indexed="23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medium">
        <color indexed="23"/>
      </bottom>
      <diagonal/>
    </border>
    <border>
      <left style="medium">
        <color indexed="23"/>
      </left>
      <right style="hair">
        <color indexed="23"/>
      </right>
      <top style="hair">
        <color indexed="23"/>
      </top>
      <bottom style="medium">
        <color indexed="23"/>
      </bottom>
      <diagonal/>
    </border>
    <border>
      <left style="hair">
        <color indexed="23"/>
      </left>
      <right style="medium">
        <color indexed="23"/>
      </right>
      <top style="medium">
        <color indexed="23"/>
      </top>
      <bottom style="hair">
        <color indexed="23"/>
      </bottom>
      <diagonal/>
    </border>
    <border>
      <left style="hair">
        <color indexed="23"/>
      </left>
      <right style="hair">
        <color indexed="23"/>
      </right>
      <top style="medium">
        <color indexed="23"/>
      </top>
      <bottom style="hair">
        <color indexed="23"/>
      </bottom>
      <diagonal/>
    </border>
    <border>
      <left style="medium">
        <color indexed="23"/>
      </left>
      <right style="hair">
        <color indexed="23"/>
      </right>
      <top style="medium">
        <color indexed="23"/>
      </top>
      <bottom style="hair">
        <color indexed="23"/>
      </bottom>
      <diagonal/>
    </border>
    <border>
      <left/>
      <right style="hair">
        <color indexed="23"/>
      </right>
      <top style="hair">
        <color indexed="23"/>
      </top>
      <bottom style="medium">
        <color indexed="23"/>
      </bottom>
      <diagonal/>
    </border>
    <border>
      <left style="medium">
        <color indexed="23"/>
      </left>
      <right/>
      <top style="hair">
        <color indexed="23"/>
      </top>
      <bottom style="medium">
        <color indexed="23"/>
      </bottom>
      <diagonal/>
    </border>
    <border>
      <left style="hair">
        <color indexed="23"/>
      </left>
      <right style="medium">
        <color indexed="23"/>
      </right>
      <top style="hair">
        <color indexed="23"/>
      </top>
      <bottom style="hair">
        <color indexed="23"/>
      </bottom>
      <diagonal/>
    </border>
    <border>
      <left style="medium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/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medium">
        <color indexed="23"/>
      </left>
      <right/>
      <top style="hair">
        <color indexed="23"/>
      </top>
      <bottom style="hair">
        <color indexed="23"/>
      </bottom>
      <diagonal/>
    </border>
    <border>
      <left/>
      <right style="hair">
        <color indexed="23"/>
      </right>
      <top style="medium">
        <color indexed="23"/>
      </top>
      <bottom style="hair">
        <color indexed="23"/>
      </bottom>
      <diagonal/>
    </border>
    <border>
      <left style="medium">
        <color indexed="23"/>
      </left>
      <right/>
      <top style="medium">
        <color indexed="23"/>
      </top>
      <bottom style="hair">
        <color indexed="23"/>
      </bottom>
      <diagonal/>
    </border>
    <border>
      <left style="hair">
        <color indexed="23"/>
      </left>
      <right style="medium">
        <color indexed="23"/>
      </right>
      <top/>
      <bottom style="medium">
        <color indexed="23"/>
      </bottom>
      <diagonal/>
    </border>
    <border>
      <left style="hair">
        <color indexed="23"/>
      </left>
      <right style="hair">
        <color indexed="23"/>
      </right>
      <top/>
      <bottom style="medium">
        <color indexed="23"/>
      </bottom>
      <diagonal/>
    </border>
    <border>
      <left style="hair">
        <color indexed="23"/>
      </left>
      <right style="medium">
        <color indexed="23"/>
      </right>
      <top style="medium">
        <color indexed="23"/>
      </top>
      <bottom/>
      <diagonal/>
    </border>
    <border>
      <left style="hair">
        <color indexed="23"/>
      </left>
      <right style="hair">
        <color indexed="23"/>
      </right>
      <top style="medium">
        <color indexed="23"/>
      </top>
      <bottom/>
      <diagonal/>
    </border>
    <border>
      <left style="medium">
        <color indexed="23"/>
      </left>
      <right style="hair">
        <color indexed="23"/>
      </right>
      <top style="medium">
        <color indexed="23"/>
      </top>
      <bottom/>
      <diagonal/>
    </border>
    <border>
      <left style="hair">
        <color indexed="23"/>
      </left>
      <right style="medium">
        <color indexed="23"/>
      </right>
      <top/>
      <bottom style="hair">
        <color indexed="23"/>
      </bottom>
      <diagonal/>
    </border>
    <border>
      <left style="hair">
        <color indexed="23"/>
      </left>
      <right style="hair">
        <color indexed="23"/>
      </right>
      <top/>
      <bottom style="hair">
        <color indexed="23"/>
      </bottom>
      <diagonal/>
    </border>
    <border>
      <left style="medium">
        <color indexed="23"/>
      </left>
      <right style="hair">
        <color indexed="23"/>
      </right>
      <top/>
      <bottom style="hair">
        <color indexed="23"/>
      </bottom>
      <diagonal/>
    </border>
    <border>
      <left style="medium">
        <color indexed="23"/>
      </left>
      <right style="medium">
        <color indexed="23"/>
      </right>
      <top style="hair">
        <color indexed="23"/>
      </top>
      <bottom style="medium">
        <color indexed="23"/>
      </bottom>
      <diagonal/>
    </border>
    <border>
      <left/>
      <right style="medium">
        <color indexed="23"/>
      </right>
      <top style="hair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hair">
        <color indexed="23"/>
      </bottom>
      <diagonal/>
    </border>
    <border>
      <left/>
      <right style="medium">
        <color indexed="23"/>
      </right>
      <top style="medium">
        <color indexed="23"/>
      </top>
      <bottom style="hair">
        <color indexed="23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/>
      <diagonal/>
    </border>
    <border>
      <left style="medium">
        <color indexed="23"/>
      </left>
      <right style="medium">
        <color indexed="23"/>
      </right>
      <top/>
      <bottom/>
      <diagonal/>
    </border>
    <border>
      <left/>
      <right style="hair">
        <color indexed="64"/>
      </right>
      <top/>
      <bottom/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/>
      <right style="medium">
        <color theme="1" tint="0.24994659260841701"/>
      </right>
      <top/>
      <bottom style="medium">
        <color theme="1" tint="0.24994659260841701"/>
      </bottom>
      <diagonal/>
    </border>
    <border>
      <left/>
      <right style="medium">
        <color indexed="23"/>
      </right>
      <top style="thin">
        <color indexed="23"/>
      </top>
      <bottom/>
      <diagonal/>
    </border>
    <border>
      <left style="thin">
        <color indexed="23"/>
      </left>
      <right style="hair">
        <color indexed="23"/>
      </right>
      <top style="thin">
        <color indexed="23"/>
      </top>
      <bottom/>
      <diagonal/>
    </border>
    <border>
      <left style="hair">
        <color indexed="23"/>
      </left>
      <right style="hair">
        <color indexed="23"/>
      </right>
      <top style="thin">
        <color indexed="23"/>
      </top>
      <bottom/>
      <diagonal/>
    </border>
    <border>
      <left style="hair">
        <color indexed="23"/>
      </left>
      <right style="hair">
        <color indexed="23"/>
      </right>
      <top/>
      <bottom/>
      <diagonal/>
    </border>
    <border>
      <left style="thin">
        <color indexed="23"/>
      </left>
      <right style="hair">
        <color indexed="23"/>
      </right>
      <top style="thin">
        <color indexed="23"/>
      </top>
      <bottom style="hair">
        <color indexed="23"/>
      </bottom>
      <diagonal/>
    </border>
    <border>
      <left style="hair">
        <color indexed="23"/>
      </left>
      <right style="hair">
        <color indexed="23"/>
      </right>
      <top style="thin">
        <color indexed="23"/>
      </top>
      <bottom style="hair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indexed="23"/>
      </bottom>
      <diagonal/>
    </border>
    <border>
      <left style="thin">
        <color indexed="23"/>
      </left>
      <right style="medium">
        <color indexed="23"/>
      </right>
      <top/>
      <bottom/>
      <diagonal/>
    </border>
    <border>
      <left style="thin">
        <color indexed="23"/>
      </left>
      <right style="medium">
        <color indexed="23"/>
      </right>
      <top style="thin">
        <color indexed="23"/>
      </top>
      <bottom/>
      <diagonal/>
    </border>
    <border>
      <left style="thin">
        <color indexed="23"/>
      </left>
      <right style="medium">
        <color indexed="23"/>
      </right>
      <top/>
      <bottom style="medium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hair">
        <color indexed="23"/>
      </right>
      <top style="thin">
        <color indexed="23"/>
      </top>
      <bottom/>
      <diagonal/>
    </border>
    <border>
      <left style="hair">
        <color indexed="23"/>
      </left>
      <right/>
      <top style="thin">
        <color indexed="23"/>
      </top>
      <bottom/>
      <diagonal/>
    </border>
    <border>
      <left/>
      <right style="hair">
        <color indexed="23"/>
      </right>
      <top/>
      <bottom style="medium">
        <color indexed="23"/>
      </bottom>
      <diagonal/>
    </border>
    <border>
      <left style="hair">
        <color indexed="23"/>
      </left>
      <right/>
      <top/>
      <bottom style="medium">
        <color indexed="23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/>
      <right style="medium">
        <color indexed="23"/>
      </right>
      <top style="hair">
        <color indexed="23"/>
      </top>
      <bottom style="hair">
        <color indexed="23"/>
      </bottom>
      <diagonal/>
    </border>
    <border>
      <left style="medium">
        <color indexed="23"/>
      </left>
      <right style="medium">
        <color indexed="23"/>
      </right>
      <top style="hair">
        <color indexed="23"/>
      </top>
      <bottom style="hair">
        <color indexed="23"/>
      </bottom>
      <diagonal/>
    </border>
    <border>
      <left/>
      <right/>
      <top style="thin">
        <color indexed="23"/>
      </top>
      <bottom/>
      <diagonal/>
    </border>
    <border>
      <left style="thin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hair">
        <color indexed="23"/>
      </left>
      <right/>
      <top style="thin">
        <color indexed="23"/>
      </top>
      <bottom style="hair">
        <color indexed="23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auto="1"/>
      </bottom>
      <diagonal/>
    </border>
    <border>
      <left style="medium">
        <color rgb="FFFF0000"/>
      </left>
      <right/>
      <top style="medium">
        <color theme="0" tint="-0.499984740745262"/>
      </top>
      <bottom style="medium">
        <color rgb="FFFF0000"/>
      </bottom>
      <diagonal/>
    </border>
    <border>
      <left/>
      <right/>
      <top style="medium">
        <color theme="0" tint="-0.499984740745262"/>
      </top>
      <bottom style="medium">
        <color rgb="FFFF0000"/>
      </bottom>
      <diagonal/>
    </border>
    <border>
      <left/>
      <right style="medium">
        <color rgb="FFFF0000"/>
      </right>
      <top style="medium">
        <color theme="0" tint="-0.499984740745262"/>
      </top>
      <bottom style="medium">
        <color rgb="FFFF0000"/>
      </bottom>
      <diagonal/>
    </border>
    <border>
      <left style="thin">
        <color rgb="FFC00000"/>
      </left>
      <right style="medium">
        <color rgb="FFC00000"/>
      </right>
      <top style="medium">
        <color theme="0" tint="-0.499984740745262"/>
      </top>
      <bottom style="medium">
        <color rgb="FFC00000"/>
      </bottom>
      <diagonal/>
    </border>
    <border>
      <left style="medium">
        <color indexed="23"/>
      </left>
      <right/>
      <top style="hair">
        <color indexed="23"/>
      </top>
      <bottom/>
      <diagonal/>
    </border>
    <border>
      <left/>
      <right style="hair">
        <color indexed="23"/>
      </right>
      <top style="hair">
        <color indexed="23"/>
      </top>
      <bottom/>
      <diagonal/>
    </border>
    <border>
      <left style="hair">
        <color indexed="23"/>
      </left>
      <right style="medium">
        <color indexed="23"/>
      </right>
      <top style="hair">
        <color indexed="23"/>
      </top>
      <bottom/>
      <diagonal/>
    </border>
    <border>
      <left style="medium">
        <color indexed="23"/>
      </left>
      <right style="hair">
        <color indexed="23"/>
      </right>
      <top style="hair">
        <color indexed="23"/>
      </top>
      <bottom/>
      <diagonal/>
    </border>
    <border>
      <left style="hair">
        <color indexed="23"/>
      </left>
      <right style="hair">
        <color indexed="23"/>
      </right>
      <top style="hair">
        <color indexed="23"/>
      </top>
      <bottom/>
      <diagonal/>
    </border>
    <border>
      <left style="medium">
        <color indexed="23"/>
      </left>
      <right style="medium">
        <color indexed="23"/>
      </right>
      <top style="hair">
        <color indexed="23"/>
      </top>
      <bottom/>
      <diagonal/>
    </border>
    <border>
      <left style="hair">
        <color indexed="23"/>
      </left>
      <right/>
      <top style="medium">
        <color indexed="23"/>
      </top>
      <bottom/>
      <diagonal/>
    </border>
    <border>
      <left style="hair">
        <color indexed="23"/>
      </left>
      <right/>
      <top style="medium">
        <color indexed="23"/>
      </top>
      <bottom style="hair">
        <color indexed="23"/>
      </bottom>
      <diagonal/>
    </border>
    <border>
      <left style="hair">
        <color indexed="23"/>
      </left>
      <right/>
      <top style="hair">
        <color indexed="23"/>
      </top>
      <bottom style="hair">
        <color indexed="23"/>
      </bottom>
      <diagonal/>
    </border>
    <border>
      <left style="hair">
        <color indexed="23"/>
      </left>
      <right/>
      <top style="hair">
        <color indexed="23"/>
      </top>
      <bottom/>
      <diagonal/>
    </border>
    <border>
      <left style="hair">
        <color indexed="23"/>
      </left>
      <right/>
      <top style="hair">
        <color indexed="23"/>
      </top>
      <bottom style="medium">
        <color indexed="23"/>
      </bottom>
      <diagonal/>
    </border>
    <border>
      <left style="hair">
        <color indexed="23"/>
      </left>
      <right/>
      <top/>
      <bottom style="hair">
        <color indexed="23"/>
      </bottom>
      <diagonal/>
    </border>
  </borders>
  <cellStyleXfs count="63">
    <xf numFmtId="0" fontId="0" fillId="0" borderId="0"/>
    <xf numFmtId="0" fontId="3" fillId="0" borderId="0"/>
    <xf numFmtId="0" fontId="3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5" borderId="0" applyNumberFormat="0" applyBorder="0" applyAlignment="0" applyProtection="0"/>
    <xf numFmtId="0" fontId="8" fillId="8" borderId="0" applyNumberFormat="0" applyBorder="0" applyAlignment="0" applyProtection="0"/>
    <xf numFmtId="0" fontId="8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3" borderId="0" applyNumberFormat="0" applyBorder="0" applyAlignment="0" applyProtection="0"/>
    <xf numFmtId="0" fontId="11" fillId="20" borderId="17" applyNumberFormat="0" applyAlignment="0" applyProtection="0"/>
    <xf numFmtId="0" fontId="12" fillId="21" borderId="18" applyNumberFormat="0" applyAlignment="0" applyProtection="0"/>
    <xf numFmtId="167" fontId="3" fillId="0" borderId="0" applyFont="0" applyFill="0" applyBorder="0" applyAlignment="0" applyProtection="0"/>
    <xf numFmtId="168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19" applyNumberFormat="0" applyFill="0" applyAlignment="0" applyProtection="0"/>
    <xf numFmtId="0" fontId="17" fillId="0" borderId="20" applyNumberFormat="0" applyFill="0" applyAlignment="0" applyProtection="0"/>
    <xf numFmtId="0" fontId="18" fillId="0" borderId="21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7" applyNumberFormat="0" applyAlignment="0" applyProtection="0"/>
    <xf numFmtId="0" fontId="20" fillId="0" borderId="22" applyNumberFormat="0" applyFill="0" applyAlignment="0" applyProtection="0"/>
    <xf numFmtId="0" fontId="21" fillId="22" borderId="0" applyNumberFormat="0" applyBorder="0" applyAlignment="0" applyProtection="0"/>
    <xf numFmtId="0" fontId="3" fillId="0" borderId="0"/>
    <xf numFmtId="0" fontId="13" fillId="0" borderId="0"/>
    <xf numFmtId="0" fontId="13" fillId="0" borderId="0"/>
    <xf numFmtId="0" fontId="1" fillId="0" borderId="0"/>
    <xf numFmtId="0" fontId="22" fillId="0" borderId="0"/>
    <xf numFmtId="0" fontId="13" fillId="23" borderId="23" applyNumberFormat="0" applyFont="0" applyAlignment="0" applyProtection="0"/>
    <xf numFmtId="0" fontId="23" fillId="20" borderId="24" applyNumberFormat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/>
    <xf numFmtId="0" fontId="25" fillId="0" borderId="0" applyNumberFormat="0" applyFill="0" applyBorder="0" applyAlignment="0" applyProtection="0"/>
    <xf numFmtId="0" fontId="26" fillId="0" borderId="25" applyNumberFormat="0" applyFill="0" applyAlignment="0" applyProtection="0"/>
    <xf numFmtId="0" fontId="27" fillId="24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5" borderId="0" applyNumberFormat="0" applyBorder="0" applyAlignment="0" applyProtection="0"/>
    <xf numFmtId="0" fontId="29" fillId="24" borderId="0" applyNumberFormat="0" applyBorder="0" applyAlignment="0" applyProtection="0"/>
    <xf numFmtId="0" fontId="29" fillId="24" borderId="0" applyNumberFormat="0" applyBorder="0" applyAlignment="0" applyProtection="0"/>
    <xf numFmtId="0" fontId="31" fillId="0" borderId="0" applyNumberFormat="0" applyFill="0" applyBorder="0" applyAlignment="0" applyProtection="0"/>
    <xf numFmtId="0" fontId="55" fillId="0" borderId="0"/>
  </cellStyleXfs>
  <cellXfs count="447">
    <xf numFmtId="0" fontId="0" fillId="0" borderId="0" xfId="0"/>
    <xf numFmtId="0" fontId="2" fillId="0" borderId="0" xfId="0" applyFont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1" xfId="0" applyFont="1" applyBorder="1" applyProtection="1"/>
    <xf numFmtId="0" fontId="2" fillId="0" borderId="2" xfId="0" applyFont="1" applyBorder="1" applyAlignment="1" applyProtection="1">
      <alignment horizontal="center"/>
    </xf>
    <xf numFmtId="0" fontId="2" fillId="0" borderId="6" xfId="0" applyFont="1" applyBorder="1" applyProtection="1"/>
    <xf numFmtId="165" fontId="2" fillId="0" borderId="7" xfId="0" applyNumberFormat="1" applyFont="1" applyBorder="1" applyAlignment="1" applyProtection="1">
      <alignment horizontal="center"/>
    </xf>
    <xf numFmtId="0" fontId="2" fillId="0" borderId="12" xfId="0" applyFont="1" applyBorder="1" applyProtection="1"/>
    <xf numFmtId="165" fontId="2" fillId="0" borderId="13" xfId="0" applyNumberFormat="1" applyFont="1" applyBorder="1" applyAlignment="1" applyProtection="1">
      <alignment horizontal="center"/>
    </xf>
    <xf numFmtId="0" fontId="2" fillId="0" borderId="0" xfId="46" applyFont="1"/>
    <xf numFmtId="0" fontId="2" fillId="0" borderId="0" xfId="46" applyFont="1" applyProtection="1"/>
    <xf numFmtId="0" fontId="2" fillId="0" borderId="0" xfId="46" applyFont="1" applyFill="1" applyProtection="1"/>
    <xf numFmtId="0" fontId="2" fillId="0" borderId="0" xfId="46" applyFont="1" applyFill="1"/>
    <xf numFmtId="0" fontId="2" fillId="0" borderId="1" xfId="46" applyFont="1" applyBorder="1"/>
    <xf numFmtId="0" fontId="2" fillId="0" borderId="26" xfId="46" applyFont="1" applyBorder="1"/>
    <xf numFmtId="0" fontId="2" fillId="0" borderId="2" xfId="46" applyFont="1" applyBorder="1"/>
    <xf numFmtId="9" fontId="32" fillId="0" borderId="0" xfId="50" applyFont="1" applyFill="1" applyAlignment="1" applyProtection="1">
      <alignment horizontal="center" shrinkToFit="1"/>
    </xf>
    <xf numFmtId="0" fontId="2" fillId="0" borderId="6" xfId="46" applyFont="1" applyBorder="1"/>
    <xf numFmtId="0" fontId="2" fillId="0" borderId="0" xfId="46" applyFont="1" applyBorder="1"/>
    <xf numFmtId="0" fontId="2" fillId="0" borderId="7" xfId="46" applyFont="1" applyBorder="1"/>
    <xf numFmtId="0" fontId="33" fillId="0" borderId="0" xfId="46" applyFont="1" applyFill="1"/>
    <xf numFmtId="0" fontId="34" fillId="0" borderId="0" xfId="46" applyFont="1" applyFill="1"/>
    <xf numFmtId="0" fontId="36" fillId="0" borderId="0" xfId="46" applyFont="1" applyFill="1" applyAlignment="1">
      <alignment horizontal="right" vertical="center"/>
    </xf>
    <xf numFmtId="1" fontId="37" fillId="0" borderId="0" xfId="46" applyNumberFormat="1" applyFont="1" applyFill="1" applyBorder="1" applyAlignment="1">
      <alignment horizontal="left" vertical="center" shrinkToFit="1"/>
    </xf>
    <xf numFmtId="0" fontId="2" fillId="0" borderId="1" xfId="46" applyFont="1" applyBorder="1" applyProtection="1"/>
    <xf numFmtId="0" fontId="2" fillId="0" borderId="26" xfId="46" applyFont="1" applyBorder="1" applyProtection="1"/>
    <xf numFmtId="0" fontId="2" fillId="0" borderId="2" xfId="46" applyFont="1" applyBorder="1" applyProtection="1"/>
    <xf numFmtId="0" fontId="2" fillId="0" borderId="6" xfId="46" applyFont="1" applyBorder="1" applyProtection="1"/>
    <xf numFmtId="0" fontId="2" fillId="0" borderId="0" xfId="46" applyFont="1" applyBorder="1" applyProtection="1"/>
    <xf numFmtId="0" fontId="2" fillId="0" borderId="7" xfId="46" applyFont="1" applyBorder="1" applyProtection="1"/>
    <xf numFmtId="0" fontId="2" fillId="0" borderId="12" xfId="46" applyFont="1" applyBorder="1" applyProtection="1"/>
    <xf numFmtId="0" fontId="2" fillId="0" borderId="27" xfId="46" applyFont="1" applyBorder="1" applyProtection="1"/>
    <xf numFmtId="0" fontId="2" fillId="0" borderId="13" xfId="46" applyFont="1" applyBorder="1" applyProtection="1"/>
    <xf numFmtId="0" fontId="2" fillId="0" borderId="0" xfId="46" applyFont="1" applyFill="1" applyBorder="1" applyAlignment="1" applyProtection="1">
      <alignment textRotation="90"/>
    </xf>
    <xf numFmtId="0" fontId="6" fillId="0" borderId="0" xfId="46" applyFont="1" applyFill="1" applyBorder="1" applyAlignment="1" applyProtection="1">
      <alignment vertical="center" textRotation="90"/>
    </xf>
    <xf numFmtId="1" fontId="37" fillId="0" borderId="0" xfId="46" applyNumberFormat="1" applyFont="1" applyFill="1" applyBorder="1" applyAlignment="1">
      <alignment horizontal="center" textRotation="90" shrinkToFit="1"/>
    </xf>
    <xf numFmtId="0" fontId="2" fillId="0" borderId="0" xfId="46" applyFont="1" applyFill="1" applyBorder="1" applyAlignment="1">
      <alignment horizontal="center" textRotation="90"/>
    </xf>
    <xf numFmtId="0" fontId="5" fillId="0" borderId="0" xfId="46" applyFont="1" applyFill="1" applyBorder="1" applyAlignment="1">
      <alignment horizontal="center" textRotation="90"/>
    </xf>
    <xf numFmtId="0" fontId="6" fillId="0" borderId="0" xfId="46" applyFont="1"/>
    <xf numFmtId="165" fontId="6" fillId="0" borderId="0" xfId="1" applyNumberFormat="1" applyFont="1" applyFill="1" applyAlignment="1" applyProtection="1">
      <alignment horizontal="center" shrinkToFit="1"/>
    </xf>
    <xf numFmtId="9" fontId="6" fillId="0" borderId="0" xfId="50" applyFont="1" applyFill="1" applyAlignment="1" applyProtection="1">
      <alignment horizontal="center"/>
    </xf>
    <xf numFmtId="2" fontId="6" fillId="0" borderId="0" xfId="1" applyNumberFormat="1" applyFont="1" applyFill="1" applyAlignment="1" applyProtection="1">
      <alignment horizontal="right" shrinkToFit="1"/>
    </xf>
    <xf numFmtId="2" fontId="6" fillId="0" borderId="0" xfId="1" applyNumberFormat="1" applyFont="1" applyFill="1" applyAlignment="1" applyProtection="1">
      <alignment horizontal="center" shrinkToFit="1"/>
    </xf>
    <xf numFmtId="2" fontId="2" fillId="0" borderId="0" xfId="1" applyNumberFormat="1" applyFont="1" applyFill="1" applyAlignment="1" applyProtection="1">
      <alignment horizontal="center" shrinkToFit="1"/>
    </xf>
    <xf numFmtId="1" fontId="2" fillId="0" borderId="0" xfId="46" applyNumberFormat="1" applyFont="1" applyFill="1" applyBorder="1" applyAlignment="1" applyProtection="1">
      <alignment horizontal="center" vertical="center"/>
    </xf>
    <xf numFmtId="0" fontId="2" fillId="27" borderId="35" xfId="46" applyFont="1" applyFill="1" applyBorder="1" applyAlignment="1" applyProtection="1">
      <alignment horizontal="left" vertical="center"/>
    </xf>
    <xf numFmtId="0" fontId="2" fillId="27" borderId="39" xfId="46" applyFont="1" applyFill="1" applyBorder="1" applyAlignment="1" applyProtection="1">
      <alignment horizontal="left" vertical="center"/>
    </xf>
    <xf numFmtId="0" fontId="2" fillId="27" borderId="42" xfId="46" applyFont="1" applyFill="1" applyBorder="1" applyAlignment="1" applyProtection="1">
      <alignment horizontal="center" textRotation="90"/>
    </xf>
    <xf numFmtId="0" fontId="2" fillId="27" borderId="4" xfId="46" applyFont="1" applyFill="1" applyBorder="1" applyAlignment="1" applyProtection="1">
      <alignment horizontal="center" textRotation="90"/>
    </xf>
    <xf numFmtId="0" fontId="5" fillId="0" borderId="0" xfId="46" applyFont="1" applyFill="1" applyBorder="1" applyAlignment="1" applyProtection="1">
      <alignment horizontal="right" textRotation="90"/>
    </xf>
    <xf numFmtId="0" fontId="6" fillId="0" borderId="0" xfId="46" applyFont="1" applyFill="1" applyBorder="1" applyAlignment="1" applyProtection="1">
      <alignment horizontal="center" textRotation="90" wrapText="1"/>
    </xf>
    <xf numFmtId="0" fontId="2" fillId="27" borderId="44" xfId="46" applyFont="1" applyFill="1" applyBorder="1" applyAlignment="1" applyProtection="1">
      <alignment horizontal="center" textRotation="90"/>
    </xf>
    <xf numFmtId="0" fontId="2" fillId="27" borderId="46" xfId="46" applyFont="1" applyFill="1" applyBorder="1" applyAlignment="1" applyProtection="1">
      <alignment horizontal="center" textRotation="90"/>
    </xf>
    <xf numFmtId="0" fontId="6" fillId="0" borderId="0" xfId="46" applyFont="1" applyFill="1" applyBorder="1" applyAlignment="1" applyProtection="1">
      <alignment textRotation="90" wrapText="1"/>
    </xf>
    <xf numFmtId="0" fontId="46" fillId="0" borderId="0" xfId="0" applyFont="1" applyAlignment="1" applyProtection="1">
      <alignment horizontal="center"/>
      <protection locked="0"/>
    </xf>
    <xf numFmtId="0" fontId="48" fillId="0" borderId="0" xfId="0" applyFont="1" applyProtection="1"/>
    <xf numFmtId="0" fontId="49" fillId="0" borderId="0" xfId="0" applyFont="1" applyAlignment="1"/>
    <xf numFmtId="0" fontId="51" fillId="0" borderId="0" xfId="0" applyFont="1" applyAlignment="1">
      <alignment horizontal="right"/>
    </xf>
    <xf numFmtId="0" fontId="0" fillId="0" borderId="54" xfId="0" applyBorder="1"/>
    <xf numFmtId="0" fontId="0" fillId="0" borderId="55" xfId="0" applyBorder="1"/>
    <xf numFmtId="0" fontId="51" fillId="0" borderId="0" xfId="0" applyFont="1" applyBorder="1" applyAlignment="1">
      <alignment horizontal="right"/>
    </xf>
    <xf numFmtId="0" fontId="51" fillId="0" borderId="0" xfId="0" applyFont="1" applyBorder="1" applyAlignment="1">
      <alignment horizontal="left"/>
    </xf>
    <xf numFmtId="0" fontId="5" fillId="0" borderId="0" xfId="46" applyFont="1" applyFill="1" applyBorder="1" applyAlignment="1" applyProtection="1">
      <alignment horizontal="center" textRotation="90"/>
    </xf>
    <xf numFmtId="0" fontId="55" fillId="0" borderId="0" xfId="62"/>
    <xf numFmtId="0" fontId="55" fillId="0" borderId="0" xfId="62" applyAlignment="1">
      <alignment horizontal="center"/>
    </xf>
    <xf numFmtId="0" fontId="55" fillId="0" borderId="0" xfId="62" applyAlignment="1">
      <alignment horizontal="left"/>
    </xf>
    <xf numFmtId="0" fontId="56" fillId="30" borderId="57" xfId="62" applyFont="1" applyFill="1" applyBorder="1"/>
    <xf numFmtId="0" fontId="56" fillId="30" borderId="58" xfId="62" applyFont="1" applyFill="1" applyBorder="1" applyAlignment="1">
      <alignment horizontal="center"/>
    </xf>
    <xf numFmtId="0" fontId="56" fillId="30" borderId="58" xfId="62" applyFont="1" applyFill="1" applyBorder="1" applyAlignment="1">
      <alignment horizontal="left"/>
    </xf>
    <xf numFmtId="0" fontId="56" fillId="30" borderId="58" xfId="62" applyFont="1" applyFill="1" applyBorder="1"/>
    <xf numFmtId="0" fontId="56" fillId="30" borderId="59" xfId="62" applyFont="1" applyFill="1" applyBorder="1"/>
    <xf numFmtId="0" fontId="56" fillId="30" borderId="60" xfId="62" applyFont="1" applyFill="1" applyBorder="1"/>
    <xf numFmtId="0" fontId="45" fillId="30" borderId="0" xfId="62" applyFont="1" applyFill="1" applyBorder="1" applyAlignment="1"/>
    <xf numFmtId="0" fontId="56" fillId="30" borderId="61" xfId="62" applyFont="1" applyFill="1" applyBorder="1"/>
    <xf numFmtId="0" fontId="44" fillId="30" borderId="62" xfId="62" applyFont="1" applyFill="1" applyBorder="1"/>
    <xf numFmtId="0" fontId="44" fillId="30" borderId="62" xfId="62" applyFont="1" applyFill="1" applyBorder="1" applyAlignment="1">
      <alignment horizontal="left"/>
    </xf>
    <xf numFmtId="171" fontId="56" fillId="30" borderId="60" xfId="62" applyNumberFormat="1" applyFont="1" applyFill="1" applyBorder="1"/>
    <xf numFmtId="0" fontId="40" fillId="32" borderId="63" xfId="62" applyFont="1" applyFill="1" applyBorder="1" applyAlignment="1" applyProtection="1">
      <alignment horizontal="center"/>
    </xf>
    <xf numFmtId="0" fontId="55" fillId="30" borderId="61" xfId="62" applyFill="1" applyBorder="1"/>
    <xf numFmtId="0" fontId="40" fillId="32" borderId="67" xfId="62" applyFont="1" applyFill="1" applyBorder="1" applyAlignment="1" applyProtection="1">
      <alignment horizontal="center"/>
    </xf>
    <xf numFmtId="0" fontId="40" fillId="32" borderId="68" xfId="62" applyFont="1" applyFill="1" applyBorder="1" applyAlignment="1" applyProtection="1">
      <alignment horizontal="center"/>
    </xf>
    <xf numFmtId="0" fontId="55" fillId="30" borderId="71" xfId="62" applyFill="1" applyBorder="1"/>
    <xf numFmtId="0" fontId="56" fillId="30" borderId="72" xfId="62" applyFont="1" applyFill="1" applyBorder="1" applyAlignment="1">
      <alignment horizontal="center"/>
    </xf>
    <xf numFmtId="0" fontId="56" fillId="30" borderId="72" xfId="62" applyFont="1" applyFill="1" applyBorder="1" applyAlignment="1">
      <alignment horizontal="left"/>
    </xf>
    <xf numFmtId="0" fontId="56" fillId="30" borderId="72" xfId="62" applyFont="1" applyFill="1" applyBorder="1"/>
    <xf numFmtId="0" fontId="55" fillId="30" borderId="73" xfId="62" applyFill="1" applyBorder="1"/>
    <xf numFmtId="0" fontId="55" fillId="0" borderId="0" xfId="62" applyBorder="1"/>
    <xf numFmtId="0" fontId="56" fillId="30" borderId="58" xfId="0" applyFont="1" applyFill="1" applyBorder="1"/>
    <xf numFmtId="0" fontId="56" fillId="30" borderId="62" xfId="0" applyFont="1" applyFill="1" applyBorder="1" applyAlignment="1">
      <alignment textRotation="90" wrapText="1"/>
    </xf>
    <xf numFmtId="172" fontId="0" fillId="32" borderId="65" xfId="0" applyNumberFormat="1" applyFill="1" applyBorder="1" applyAlignment="1" applyProtection="1">
      <alignment horizontal="center"/>
    </xf>
    <xf numFmtId="172" fontId="0" fillId="32" borderId="66" xfId="0" applyNumberFormat="1" applyFill="1" applyBorder="1" applyAlignment="1" applyProtection="1">
      <alignment horizontal="center"/>
    </xf>
    <xf numFmtId="172" fontId="0" fillId="32" borderId="70" xfId="0" applyNumberFormat="1" applyFill="1" applyBorder="1" applyAlignment="1" applyProtection="1">
      <alignment horizontal="center"/>
    </xf>
    <xf numFmtId="0" fontId="56" fillId="30" borderId="72" xfId="0" applyFont="1" applyFill="1" applyBorder="1"/>
    <xf numFmtId="0" fontId="56" fillId="30" borderId="60" xfId="0" applyFont="1" applyFill="1" applyBorder="1"/>
    <xf numFmtId="0" fontId="58" fillId="30" borderId="0" xfId="0" applyFont="1" applyFill="1" applyBorder="1" applyAlignment="1" applyProtection="1">
      <alignment horizontal="center"/>
    </xf>
    <xf numFmtId="0" fontId="58" fillId="30" borderId="0" xfId="0" applyFont="1" applyFill="1" applyBorder="1" applyAlignment="1" applyProtection="1">
      <alignment horizontal="left"/>
    </xf>
    <xf numFmtId="0" fontId="45" fillId="30" borderId="0" xfId="0" applyFont="1" applyFill="1" applyBorder="1" applyAlignment="1" applyProtection="1">
      <alignment horizontal="right"/>
    </xf>
    <xf numFmtId="0" fontId="40" fillId="34" borderId="64" xfId="62" applyFont="1" applyFill="1" applyBorder="1" applyAlignment="1" applyProtection="1">
      <alignment horizontal="left"/>
    </xf>
    <xf numFmtId="0" fontId="55" fillId="34" borderId="65" xfId="62" applyFill="1" applyBorder="1" applyProtection="1"/>
    <xf numFmtId="0" fontId="40" fillId="34" borderId="56" xfId="62" applyFont="1" applyFill="1" applyBorder="1" applyAlignment="1" applyProtection="1">
      <alignment horizontal="left"/>
    </xf>
    <xf numFmtId="0" fontId="40" fillId="34" borderId="66" xfId="62" applyFont="1" applyFill="1" applyBorder="1" applyProtection="1"/>
    <xf numFmtId="0" fontId="40" fillId="34" borderId="69" xfId="62" applyFont="1" applyFill="1" applyBorder="1" applyAlignment="1" applyProtection="1">
      <alignment horizontal="left"/>
    </xf>
    <xf numFmtId="0" fontId="55" fillId="34" borderId="70" xfId="62" applyFill="1" applyBorder="1" applyProtection="1"/>
    <xf numFmtId="0" fontId="59" fillId="0" borderId="0" xfId="0" applyFont="1"/>
    <xf numFmtId="0" fontId="42" fillId="0" borderId="0" xfId="0" applyFont="1" applyProtection="1"/>
    <xf numFmtId="0" fontId="61" fillId="0" borderId="0" xfId="0" applyFont="1" applyProtection="1"/>
    <xf numFmtId="0" fontId="61" fillId="0" borderId="0" xfId="0" applyFont="1"/>
    <xf numFmtId="0" fontId="7" fillId="0" borderId="0" xfId="46" applyFont="1" applyBorder="1" applyAlignment="1">
      <alignment horizontal="left"/>
    </xf>
    <xf numFmtId="0" fontId="2" fillId="35" borderId="74" xfId="46" applyFont="1" applyFill="1" applyBorder="1" applyAlignment="1" applyProtection="1">
      <alignment horizontal="left" vertical="center"/>
    </xf>
    <xf numFmtId="0" fontId="0" fillId="0" borderId="0" xfId="0" applyBorder="1"/>
    <xf numFmtId="2" fontId="5" fillId="28" borderId="82" xfId="46" applyNumberFormat="1" applyFont="1" applyFill="1" applyBorder="1" applyAlignment="1" applyProtection="1">
      <alignment horizontal="center" vertical="center"/>
    </xf>
    <xf numFmtId="0" fontId="2" fillId="35" borderId="6" xfId="46" applyFont="1" applyFill="1" applyBorder="1" applyAlignment="1" applyProtection="1">
      <alignment horizontal="left" vertical="center"/>
    </xf>
    <xf numFmtId="2" fontId="5" fillId="28" borderId="81" xfId="46" applyNumberFormat="1" applyFont="1" applyFill="1" applyBorder="1" applyAlignment="1" applyProtection="1">
      <alignment horizontal="center" vertical="center"/>
    </xf>
    <xf numFmtId="0" fontId="2" fillId="35" borderId="5" xfId="46" applyFont="1" applyFill="1" applyBorder="1" applyAlignment="1" applyProtection="1">
      <alignment horizontal="left" vertical="center"/>
    </xf>
    <xf numFmtId="0" fontId="2" fillId="35" borderId="1" xfId="46" applyFont="1" applyFill="1" applyBorder="1" applyAlignment="1" applyProtection="1">
      <alignment horizontal="left" vertical="center"/>
    </xf>
    <xf numFmtId="2" fontId="5" fillId="28" borderId="83" xfId="46" applyNumberFormat="1" applyFont="1" applyFill="1" applyBorder="1" applyAlignment="1" applyProtection="1">
      <alignment horizontal="center" vertical="center"/>
    </xf>
    <xf numFmtId="0" fontId="6" fillId="0" borderId="0" xfId="46" applyFont="1" applyBorder="1" applyAlignment="1">
      <alignment horizontal="left"/>
    </xf>
    <xf numFmtId="0" fontId="43" fillId="35" borderId="3" xfId="46" applyFont="1" applyFill="1" applyBorder="1" applyAlignment="1" applyProtection="1">
      <alignment horizontal="left" vertical="center"/>
    </xf>
    <xf numFmtId="0" fontId="53" fillId="0" borderId="84" xfId="0" applyFont="1" applyBorder="1" applyAlignment="1" applyProtection="1"/>
    <xf numFmtId="0" fontId="2" fillId="0" borderId="0" xfId="0" applyFont="1" applyBorder="1" applyProtection="1"/>
    <xf numFmtId="0" fontId="2" fillId="0" borderId="13" xfId="0" applyFont="1" applyBorder="1" applyAlignment="1" applyProtection="1">
      <alignment horizontal="center"/>
    </xf>
    <xf numFmtId="0" fontId="2" fillId="0" borderId="27" xfId="0" applyFont="1" applyBorder="1" applyProtection="1"/>
    <xf numFmtId="0" fontId="6" fillId="0" borderId="84" xfId="0" applyFont="1" applyBorder="1" applyAlignment="1" applyProtection="1"/>
    <xf numFmtId="0" fontId="0" fillId="0" borderId="84" xfId="0" applyBorder="1" applyAlignment="1"/>
    <xf numFmtId="0" fontId="0" fillId="0" borderId="13" xfId="0" applyBorder="1"/>
    <xf numFmtId="0" fontId="61" fillId="0" borderId="0" xfId="0" applyFont="1" applyBorder="1" applyProtection="1"/>
    <xf numFmtId="0" fontId="2" fillId="35" borderId="86" xfId="46" applyFont="1" applyFill="1" applyBorder="1" applyAlignment="1" applyProtection="1">
      <alignment horizontal="left" vertical="center"/>
    </xf>
    <xf numFmtId="0" fontId="2" fillId="35" borderId="8" xfId="46" applyFont="1" applyFill="1" applyBorder="1" applyAlignment="1" applyProtection="1">
      <alignment horizontal="left" vertical="center"/>
    </xf>
    <xf numFmtId="0" fontId="2" fillId="35" borderId="87" xfId="46" applyFont="1" applyFill="1" applyBorder="1" applyAlignment="1" applyProtection="1">
      <alignment horizontal="left" vertical="center"/>
    </xf>
    <xf numFmtId="0" fontId="2" fillId="35" borderId="88" xfId="46" applyFont="1" applyFill="1" applyBorder="1" applyAlignment="1" applyProtection="1">
      <alignment horizontal="left" vertical="center"/>
    </xf>
    <xf numFmtId="0" fontId="2" fillId="27" borderId="45" xfId="46" applyFont="1" applyFill="1" applyBorder="1" applyAlignment="1" applyProtection="1">
      <alignment horizontal="center" textRotation="90"/>
    </xf>
    <xf numFmtId="0" fontId="2" fillId="27" borderId="43" xfId="46" applyFont="1" applyFill="1" applyBorder="1" applyAlignment="1" applyProtection="1">
      <alignment horizontal="center" textRotation="90"/>
    </xf>
    <xf numFmtId="0" fontId="3" fillId="0" borderId="0" xfId="0" applyFont="1"/>
    <xf numFmtId="0" fontId="2" fillId="0" borderId="0" xfId="1" applyFont="1" applyProtection="1"/>
    <xf numFmtId="0" fontId="2" fillId="0" borderId="0" xfId="0" applyFont="1" applyAlignment="1" applyProtection="1">
      <alignment vertical="center"/>
    </xf>
    <xf numFmtId="0" fontId="4" fillId="0" borderId="0" xfId="46" applyFont="1" applyFill="1"/>
    <xf numFmtId="0" fontId="4" fillId="0" borderId="0" xfId="46" applyFont="1" applyFill="1" applyAlignment="1">
      <alignment horizontal="right"/>
    </xf>
    <xf numFmtId="0" fontId="7" fillId="0" borderId="0" xfId="46" applyFont="1"/>
    <xf numFmtId="0" fontId="32" fillId="0" borderId="0" xfId="46" applyFont="1" applyFill="1" applyBorder="1" applyAlignment="1" applyProtection="1">
      <alignment horizontal="center" textRotation="90"/>
    </xf>
    <xf numFmtId="0" fontId="2" fillId="27" borderId="46" xfId="46" applyFont="1" applyFill="1" applyBorder="1" applyAlignment="1" applyProtection="1">
      <alignment horizontal="center" textRotation="90" wrapText="1"/>
    </xf>
    <xf numFmtId="0" fontId="2" fillId="27" borderId="45" xfId="46" applyFont="1" applyFill="1" applyBorder="1" applyAlignment="1" applyProtection="1">
      <alignment horizontal="center" textRotation="90" wrapText="1"/>
    </xf>
    <xf numFmtId="0" fontId="2" fillId="27" borderId="44" xfId="46" applyFont="1" applyFill="1" applyBorder="1" applyAlignment="1" applyProtection="1">
      <alignment horizontal="center" textRotation="90" wrapText="1"/>
    </xf>
    <xf numFmtId="0" fontId="39" fillId="0" borderId="0" xfId="46" applyFont="1" applyFill="1" applyBorder="1" applyAlignment="1" applyProtection="1">
      <alignment horizontal="right" textRotation="90"/>
    </xf>
    <xf numFmtId="0" fontId="2" fillId="27" borderId="4" xfId="46" applyFont="1" applyFill="1" applyBorder="1" applyAlignment="1" applyProtection="1">
      <alignment horizontal="center" textRotation="90" wrapText="1"/>
    </xf>
    <xf numFmtId="0" fontId="2" fillId="27" borderId="43" xfId="46" applyFont="1" applyFill="1" applyBorder="1" applyAlignment="1" applyProtection="1">
      <alignment horizontal="center" textRotation="90" wrapText="1"/>
    </xf>
    <xf numFmtId="0" fontId="2" fillId="27" borderId="42" xfId="46" applyFont="1" applyFill="1" applyBorder="1" applyAlignment="1" applyProtection="1">
      <alignment horizontal="center" textRotation="90" wrapText="1"/>
    </xf>
    <xf numFmtId="2" fontId="32" fillId="0" borderId="0" xfId="0" applyNumberFormat="1" applyFont="1" applyFill="1" applyAlignment="1">
      <alignment horizontal="center" textRotation="90"/>
    </xf>
    <xf numFmtId="0" fontId="2" fillId="27" borderId="41" xfId="46" applyFont="1" applyFill="1" applyBorder="1" applyAlignment="1" applyProtection="1">
      <alignment horizontal="left" vertical="center" wrapText="1"/>
    </xf>
    <xf numFmtId="0" fontId="2" fillId="27" borderId="40" xfId="46" applyFont="1" applyFill="1" applyBorder="1" applyAlignment="1" applyProtection="1">
      <alignment horizontal="left" vertical="center" wrapText="1"/>
    </xf>
    <xf numFmtId="2" fontId="5" fillId="28" borderId="31" xfId="46" applyNumberFormat="1" applyFont="1" applyFill="1" applyBorder="1" applyAlignment="1" applyProtection="1">
      <alignment horizontal="center" vertical="center" shrinkToFit="1"/>
    </xf>
    <xf numFmtId="170" fontId="38" fillId="27" borderId="33" xfId="0" applyNumberFormat="1" applyFont="1" applyFill="1" applyBorder="1" applyAlignment="1" applyProtection="1">
      <alignment horizontal="center" vertical="center"/>
    </xf>
    <xf numFmtId="170" fontId="38" fillId="27" borderId="32" xfId="0" applyNumberFormat="1" applyFont="1" applyFill="1" applyBorder="1" applyAlignment="1" applyProtection="1">
      <alignment horizontal="center" vertical="center"/>
    </xf>
    <xf numFmtId="170" fontId="38" fillId="27" borderId="31" xfId="0" applyNumberFormat="1" applyFont="1" applyFill="1" applyBorder="1" applyAlignment="1" applyProtection="1">
      <alignment horizontal="center" vertical="center"/>
    </xf>
    <xf numFmtId="1" fontId="2" fillId="27" borderId="33" xfId="46" applyNumberFormat="1" applyFont="1" applyFill="1" applyBorder="1" applyAlignment="1" applyProtection="1">
      <alignment horizontal="center" vertical="center" shrinkToFit="1"/>
    </xf>
    <xf numFmtId="0" fontId="2" fillId="27" borderId="39" xfId="46" applyFont="1" applyFill="1" applyBorder="1" applyAlignment="1" applyProtection="1">
      <alignment horizontal="left" vertical="center" wrapText="1"/>
    </xf>
    <xf numFmtId="0" fontId="2" fillId="27" borderId="38" xfId="46" applyFont="1" applyFill="1" applyBorder="1" applyAlignment="1" applyProtection="1">
      <alignment horizontal="left" vertical="center" wrapText="1"/>
    </xf>
    <xf numFmtId="2" fontId="5" fillId="28" borderId="36" xfId="46" applyNumberFormat="1" applyFont="1" applyFill="1" applyBorder="1" applyAlignment="1" applyProtection="1">
      <alignment horizontal="center" vertical="center" shrinkToFit="1"/>
    </xf>
    <xf numFmtId="170" fontId="38" fillId="27" borderId="37" xfId="0" applyNumberFormat="1" applyFont="1" applyFill="1" applyBorder="1" applyAlignment="1" applyProtection="1">
      <alignment horizontal="center" vertical="center"/>
    </xf>
    <xf numFmtId="170" fontId="38" fillId="27" borderId="89" xfId="0" applyNumberFormat="1" applyFont="1" applyFill="1" applyBorder="1" applyAlignment="1" applyProtection="1">
      <alignment horizontal="center" vertical="center"/>
    </xf>
    <xf numFmtId="170" fontId="38" fillId="27" borderId="36" xfId="0" applyNumberFormat="1" applyFont="1" applyFill="1" applyBorder="1" applyAlignment="1" applyProtection="1">
      <alignment horizontal="center" vertical="center"/>
    </xf>
    <xf numFmtId="1" fontId="2" fillId="27" borderId="37" xfId="46" applyNumberFormat="1" applyFont="1" applyFill="1" applyBorder="1" applyAlignment="1" applyProtection="1">
      <alignment horizontal="center" vertical="center" shrinkToFit="1"/>
    </xf>
    <xf numFmtId="0" fontId="2" fillId="27" borderId="35" xfId="46" applyFont="1" applyFill="1" applyBorder="1" applyAlignment="1" applyProtection="1">
      <alignment horizontal="left" vertical="center" wrapText="1"/>
    </xf>
    <xf numFmtId="0" fontId="2" fillId="27" borderId="34" xfId="46" applyFont="1" applyFill="1" applyBorder="1" applyAlignment="1" applyProtection="1">
      <alignment horizontal="left" vertical="center" wrapText="1"/>
    </xf>
    <xf numFmtId="2" fontId="5" fillId="28" borderId="28" xfId="46" applyNumberFormat="1" applyFont="1" applyFill="1" applyBorder="1" applyAlignment="1" applyProtection="1">
      <alignment horizontal="center" vertical="center" shrinkToFit="1"/>
    </xf>
    <xf numFmtId="170" fontId="38" fillId="27" borderId="30" xfId="0" applyNumberFormat="1" applyFont="1" applyFill="1" applyBorder="1" applyAlignment="1" applyProtection="1">
      <alignment horizontal="center" vertical="center"/>
    </xf>
    <xf numFmtId="170" fontId="38" fillId="27" borderId="29" xfId="0" applyNumberFormat="1" applyFont="1" applyFill="1" applyBorder="1" applyAlignment="1" applyProtection="1">
      <alignment horizontal="center" vertical="center"/>
    </xf>
    <xf numFmtId="170" fontId="38" fillId="27" borderId="28" xfId="0" applyNumberFormat="1" applyFont="1" applyFill="1" applyBorder="1" applyAlignment="1" applyProtection="1">
      <alignment horizontal="center" vertical="center"/>
    </xf>
    <xf numFmtId="1" fontId="2" fillId="27" borderId="30" xfId="46" applyNumberFormat="1" applyFont="1" applyFill="1" applyBorder="1" applyAlignment="1" applyProtection="1">
      <alignment horizontal="center" vertical="center" shrinkToFit="1"/>
    </xf>
    <xf numFmtId="1" fontId="5" fillId="27" borderId="33" xfId="46" applyNumberFormat="1" applyFont="1" applyFill="1" applyBorder="1" applyAlignment="1">
      <alignment horizontal="center" vertical="center"/>
    </xf>
    <xf numFmtId="1" fontId="5" fillId="27" borderId="32" xfId="46" applyNumberFormat="1" applyFont="1" applyFill="1" applyBorder="1" applyAlignment="1">
      <alignment horizontal="center" vertical="center"/>
    </xf>
    <xf numFmtId="1" fontId="5" fillId="27" borderId="31" xfId="46" applyNumberFormat="1" applyFont="1" applyFill="1" applyBorder="1" applyAlignment="1">
      <alignment horizontal="center" vertical="center"/>
    </xf>
    <xf numFmtId="0" fontId="2" fillId="0" borderId="0" xfId="46" applyFont="1" applyFill="1" applyBorder="1" applyAlignment="1">
      <alignment horizontal="left" vertical="center" textRotation="90"/>
    </xf>
    <xf numFmtId="0" fontId="35" fillId="0" borderId="0" xfId="0" applyFont="1" applyFill="1"/>
    <xf numFmtId="0" fontId="34" fillId="0" borderId="0" xfId="46" applyFont="1" applyFill="1" applyProtection="1"/>
    <xf numFmtId="2" fontId="54" fillId="0" borderId="13" xfId="46" applyNumberFormat="1" applyFont="1" applyFill="1" applyBorder="1" applyAlignment="1" applyProtection="1">
      <alignment horizontal="center" vertical="center"/>
    </xf>
    <xf numFmtId="2" fontId="54" fillId="0" borderId="27" xfId="46" applyNumberFormat="1" applyFont="1" applyFill="1" applyBorder="1" applyAlignment="1" applyProtection="1">
      <alignment horizontal="center" vertical="center"/>
    </xf>
    <xf numFmtId="2" fontId="54" fillId="0" borderId="12" xfId="46" applyNumberFormat="1" applyFont="1" applyFill="1" applyBorder="1" applyAlignment="1" applyProtection="1">
      <alignment horizontal="center" vertical="center"/>
    </xf>
    <xf numFmtId="2" fontId="32" fillId="0" borderId="0" xfId="0" applyNumberFormat="1" applyFont="1" applyFill="1" applyAlignment="1" applyProtection="1">
      <alignment horizontal="center" shrinkToFit="1"/>
    </xf>
    <xf numFmtId="2" fontId="33" fillId="0" borderId="0" xfId="46" applyNumberFormat="1" applyFont="1" applyFill="1" applyProtection="1">
      <protection locked="0"/>
    </xf>
    <xf numFmtId="0" fontId="63" fillId="0" borderId="0" xfId="46" applyFont="1" applyFill="1" applyBorder="1" applyAlignment="1">
      <alignment shrinkToFit="1"/>
    </xf>
    <xf numFmtId="0" fontId="64" fillId="0" borderId="0" xfId="0" applyFont="1" applyFill="1"/>
    <xf numFmtId="165" fontId="2" fillId="0" borderId="13" xfId="46" applyNumberFormat="1" applyFont="1" applyFill="1" applyBorder="1" applyAlignment="1" applyProtection="1">
      <alignment horizontal="center" vertical="center"/>
    </xf>
    <xf numFmtId="165" fontId="2" fillId="0" borderId="27" xfId="46" applyNumberFormat="1" applyFont="1" applyFill="1" applyBorder="1" applyAlignment="1" applyProtection="1">
      <alignment horizontal="center" vertical="center"/>
    </xf>
    <xf numFmtId="165" fontId="2" fillId="0" borderId="12" xfId="46" applyNumberFormat="1" applyFont="1" applyFill="1" applyBorder="1" applyAlignment="1" applyProtection="1">
      <alignment horizontal="center" vertical="center"/>
    </xf>
    <xf numFmtId="0" fontId="2" fillId="27" borderId="41" xfId="46" applyFont="1" applyFill="1" applyBorder="1" applyAlignment="1" applyProtection="1">
      <alignment horizontal="left" vertical="center"/>
    </xf>
    <xf numFmtId="0" fontId="2" fillId="27" borderId="53" xfId="46" applyFont="1" applyFill="1" applyBorder="1" applyAlignment="1" applyProtection="1">
      <alignment horizontal="left" vertical="center"/>
    </xf>
    <xf numFmtId="2" fontId="42" fillId="29" borderId="52" xfId="46" applyNumberFormat="1" applyFont="1" applyFill="1" applyBorder="1" applyAlignment="1" applyProtection="1">
      <alignment horizontal="center" vertical="center" shrinkToFit="1"/>
    </xf>
    <xf numFmtId="1" fontId="42" fillId="27" borderId="33" xfId="46" applyNumberFormat="1" applyFont="1" applyFill="1" applyBorder="1" applyAlignment="1" applyProtection="1">
      <alignment horizontal="center" vertical="center" shrinkToFit="1"/>
    </xf>
    <xf numFmtId="2" fontId="42" fillId="27" borderId="31" xfId="46" applyNumberFormat="1" applyFont="1" applyFill="1" applyBorder="1" applyAlignment="1" applyProtection="1">
      <alignment horizontal="center" vertical="center" shrinkToFit="1"/>
    </xf>
    <xf numFmtId="0" fontId="2" fillId="27" borderId="90" xfId="46" applyFont="1" applyFill="1" applyBorder="1" applyAlignment="1" applyProtection="1">
      <alignment horizontal="left" vertical="center"/>
    </xf>
    <xf numFmtId="2" fontId="42" fillId="29" borderId="91" xfId="46" applyNumberFormat="1" applyFont="1" applyFill="1" applyBorder="1" applyAlignment="1" applyProtection="1">
      <alignment horizontal="center" vertical="center" shrinkToFit="1"/>
    </xf>
    <xf numFmtId="1" fontId="42" fillId="27" borderId="37" xfId="46" applyNumberFormat="1" applyFont="1" applyFill="1" applyBorder="1" applyAlignment="1" applyProtection="1">
      <alignment horizontal="center" vertical="center" shrinkToFit="1"/>
    </xf>
    <xf numFmtId="2" fontId="42" fillId="27" borderId="36" xfId="46" applyNumberFormat="1" applyFont="1" applyFill="1" applyBorder="1" applyAlignment="1" applyProtection="1">
      <alignment horizontal="center" vertical="center" shrinkToFit="1"/>
    </xf>
    <xf numFmtId="0" fontId="2" fillId="27" borderId="51" xfId="46" applyFont="1" applyFill="1" applyBorder="1" applyAlignment="1" applyProtection="1">
      <alignment horizontal="left" vertical="center"/>
    </xf>
    <xf numFmtId="2" fontId="42" fillId="29" borderId="50" xfId="46" applyNumberFormat="1" applyFont="1" applyFill="1" applyBorder="1" applyAlignment="1" applyProtection="1">
      <alignment horizontal="center" vertical="center" shrinkToFit="1"/>
    </xf>
    <xf numFmtId="1" fontId="42" fillId="27" borderId="30" xfId="46" applyNumberFormat="1" applyFont="1" applyFill="1" applyBorder="1" applyAlignment="1" applyProtection="1">
      <alignment horizontal="center" vertical="center" shrinkToFit="1"/>
    </xf>
    <xf numFmtId="2" fontId="42" fillId="27" borderId="28" xfId="46" applyNumberFormat="1" applyFont="1" applyFill="1" applyBorder="1" applyAlignment="1" applyProtection="1">
      <alignment horizontal="center" vertical="center" shrinkToFit="1"/>
    </xf>
    <xf numFmtId="0" fontId="43" fillId="35" borderId="26" xfId="46" applyFont="1" applyFill="1" applyBorder="1" applyAlignment="1" applyProtection="1">
      <alignment horizontal="left" vertical="center"/>
    </xf>
    <xf numFmtId="172" fontId="65" fillId="0" borderId="0" xfId="46" applyNumberFormat="1" applyFont="1" applyBorder="1" applyAlignment="1">
      <alignment horizontal="left"/>
    </xf>
    <xf numFmtId="172" fontId="41" fillId="35" borderId="75" xfId="46" applyNumberFormat="1" applyFont="1" applyFill="1" applyBorder="1" applyAlignment="1" applyProtection="1">
      <alignment horizontal="left" vertical="center"/>
    </xf>
    <xf numFmtId="172" fontId="41" fillId="35" borderId="92" xfId="46" applyNumberFormat="1" applyFont="1" applyFill="1" applyBorder="1" applyAlignment="1" applyProtection="1">
      <alignment horizontal="left" vertical="center"/>
    </xf>
    <xf numFmtId="172" fontId="41" fillId="35" borderId="9" xfId="46" applyNumberFormat="1" applyFont="1" applyFill="1" applyBorder="1" applyAlignment="1" applyProtection="1">
      <alignment horizontal="left" vertical="center"/>
    </xf>
    <xf numFmtId="172" fontId="41" fillId="35" borderId="0" xfId="46" applyNumberFormat="1" applyFont="1" applyFill="1" applyBorder="1" applyAlignment="1" applyProtection="1">
      <alignment horizontal="left" vertical="center"/>
    </xf>
    <xf numFmtId="172" fontId="41" fillId="35" borderId="74" xfId="46" applyNumberFormat="1" applyFont="1" applyFill="1" applyBorder="1" applyAlignment="1" applyProtection="1">
      <alignment horizontal="left" vertical="center"/>
    </xf>
    <xf numFmtId="172" fontId="41" fillId="35" borderId="6" xfId="46" applyNumberFormat="1" applyFont="1" applyFill="1" applyBorder="1" applyAlignment="1" applyProtection="1">
      <alignment horizontal="left" vertical="center"/>
    </xf>
    <xf numFmtId="0" fontId="43" fillId="35" borderId="1" xfId="46" applyFont="1" applyFill="1" applyBorder="1" applyAlignment="1" applyProtection="1">
      <alignment horizontal="left" vertical="center"/>
    </xf>
    <xf numFmtId="0" fontId="53" fillId="0" borderId="0" xfId="0" applyFont="1" applyBorder="1" applyAlignment="1" applyProtection="1"/>
    <xf numFmtId="0" fontId="50" fillId="31" borderId="96" xfId="0" applyNumberFormat="1" applyFont="1" applyFill="1" applyBorder="1" applyAlignment="1" applyProtection="1">
      <alignment horizontal="left"/>
      <protection locked="0"/>
    </xf>
    <xf numFmtId="170" fontId="38" fillId="27" borderId="33" xfId="1" applyNumberFormat="1" applyFont="1" applyFill="1" applyBorder="1" applyAlignment="1" applyProtection="1">
      <alignment horizontal="center" vertical="center"/>
    </xf>
    <xf numFmtId="170" fontId="38" fillId="27" borderId="32" xfId="1" applyNumberFormat="1" applyFont="1" applyFill="1" applyBorder="1" applyAlignment="1" applyProtection="1">
      <alignment horizontal="center" vertical="center"/>
    </xf>
    <xf numFmtId="170" fontId="38" fillId="27" borderId="31" xfId="1" applyNumberFormat="1" applyFont="1" applyFill="1" applyBorder="1" applyAlignment="1" applyProtection="1">
      <alignment horizontal="center" vertical="center"/>
    </xf>
    <xf numFmtId="170" fontId="38" fillId="27" borderId="37" xfId="1" applyNumberFormat="1" applyFont="1" applyFill="1" applyBorder="1" applyAlignment="1" applyProtection="1">
      <alignment horizontal="center" vertical="center"/>
    </xf>
    <xf numFmtId="170" fontId="38" fillId="27" borderId="89" xfId="1" applyNumberFormat="1" applyFont="1" applyFill="1" applyBorder="1" applyAlignment="1" applyProtection="1">
      <alignment horizontal="center" vertical="center"/>
    </xf>
    <xf numFmtId="170" fontId="38" fillId="27" borderId="36" xfId="1" applyNumberFormat="1" applyFont="1" applyFill="1" applyBorder="1" applyAlignment="1" applyProtection="1">
      <alignment horizontal="center" vertical="center"/>
    </xf>
    <xf numFmtId="170" fontId="38" fillId="27" borderId="30" xfId="1" applyNumberFormat="1" applyFont="1" applyFill="1" applyBorder="1" applyAlignment="1" applyProtection="1">
      <alignment horizontal="center" vertical="center"/>
    </xf>
    <xf numFmtId="170" fontId="38" fillId="27" borderId="29" xfId="1" applyNumberFormat="1" applyFont="1" applyFill="1" applyBorder="1" applyAlignment="1" applyProtection="1">
      <alignment horizontal="center" vertical="center"/>
    </xf>
    <xf numFmtId="170" fontId="38" fillId="27" borderId="28" xfId="1" applyNumberFormat="1" applyFont="1" applyFill="1" applyBorder="1" applyAlignment="1" applyProtection="1">
      <alignment horizontal="center" vertical="center"/>
    </xf>
    <xf numFmtId="0" fontId="4" fillId="0" borderId="0" xfId="46" applyFont="1" applyProtection="1"/>
    <xf numFmtId="0" fontId="6" fillId="0" borderId="0" xfId="46" applyFont="1" applyProtection="1"/>
    <xf numFmtId="0" fontId="40" fillId="0" borderId="0" xfId="46" applyFont="1" applyProtection="1"/>
    <xf numFmtId="0" fontId="6" fillId="0" borderId="26" xfId="46" applyFont="1" applyBorder="1" applyProtection="1"/>
    <xf numFmtId="0" fontId="7" fillId="0" borderId="26" xfId="46" applyFont="1" applyBorder="1" applyProtection="1"/>
    <xf numFmtId="0" fontId="42" fillId="0" borderId="0" xfId="46" applyFont="1" applyFill="1" applyBorder="1" applyAlignment="1" applyProtection="1">
      <alignment horizontal="center" textRotation="90"/>
    </xf>
    <xf numFmtId="0" fontId="2" fillId="0" borderId="0" xfId="46" applyFont="1" applyFill="1" applyBorder="1" applyAlignment="1" applyProtection="1">
      <alignment horizontal="center" textRotation="90"/>
    </xf>
    <xf numFmtId="2" fontId="44" fillId="0" borderId="0" xfId="1" applyNumberFormat="1" applyFont="1" applyFill="1" applyAlignment="1" applyProtection="1">
      <alignment horizontal="center" textRotation="90" wrapText="1"/>
    </xf>
    <xf numFmtId="0" fontId="2" fillId="0" borderId="0" xfId="46" applyFont="1" applyFill="1" applyAlignment="1" applyProtection="1">
      <alignment horizontal="right" vertical="center"/>
    </xf>
    <xf numFmtId="0" fontId="36" fillId="0" borderId="0" xfId="46" applyFont="1" applyFill="1" applyAlignment="1" applyProtection="1">
      <alignment horizontal="right" vertical="center"/>
    </xf>
    <xf numFmtId="0" fontId="40" fillId="0" borderId="0" xfId="46" applyFont="1" applyFill="1" applyBorder="1" applyAlignment="1" applyProtection="1">
      <alignment horizontal="left" vertical="center" textRotation="90"/>
    </xf>
    <xf numFmtId="0" fontId="36" fillId="0" borderId="0" xfId="1" applyFont="1" applyFill="1" applyProtection="1"/>
    <xf numFmtId="0" fontId="40" fillId="0" borderId="0" xfId="46" applyFont="1" applyFill="1" applyProtection="1"/>
    <xf numFmtId="0" fontId="2" fillId="0" borderId="0" xfId="1" applyFont="1" applyFill="1" applyProtection="1"/>
    <xf numFmtId="2" fontId="41" fillId="0" borderId="0" xfId="46" applyNumberFormat="1" applyFont="1" applyFill="1" applyProtection="1"/>
    <xf numFmtId="0" fontId="41" fillId="0" borderId="0" xfId="46" applyFont="1" applyFill="1" applyProtection="1"/>
    <xf numFmtId="165" fontId="5" fillId="0" borderId="0" xfId="46" applyNumberFormat="1" applyFont="1" applyFill="1" applyProtection="1"/>
    <xf numFmtId="0" fontId="5" fillId="0" borderId="0" xfId="46" applyFont="1" applyFill="1" applyProtection="1"/>
    <xf numFmtId="0" fontId="2" fillId="0" borderId="0" xfId="46" applyFont="1" applyFill="1" applyBorder="1" applyAlignment="1" applyProtection="1">
      <alignment shrinkToFit="1"/>
    </xf>
    <xf numFmtId="0" fontId="6" fillId="0" borderId="0" xfId="1" applyFont="1" applyFill="1" applyProtection="1"/>
    <xf numFmtId="1" fontId="37" fillId="0" borderId="0" xfId="46" applyNumberFormat="1" applyFont="1" applyFill="1" applyBorder="1" applyAlignment="1" applyProtection="1">
      <alignment horizontal="left" vertical="center" shrinkToFit="1"/>
    </xf>
    <xf numFmtId="0" fontId="33" fillId="0" borderId="0" xfId="46" applyFont="1" applyFill="1" applyProtection="1"/>
    <xf numFmtId="1" fontId="43" fillId="0" borderId="0" xfId="46" applyNumberFormat="1" applyFont="1" applyFill="1" applyBorder="1" applyAlignment="1" applyProtection="1">
      <alignment horizontal="center" textRotation="90" shrinkToFit="1"/>
    </xf>
    <xf numFmtId="1" fontId="42" fillId="27" borderId="49" xfId="46" applyNumberFormat="1" applyFont="1" applyFill="1" applyBorder="1" applyAlignment="1" applyProtection="1">
      <alignment horizontal="center" vertical="center"/>
    </xf>
    <xf numFmtId="1" fontId="42" fillId="27" borderId="48" xfId="46" applyNumberFormat="1" applyFont="1" applyFill="1" applyBorder="1" applyAlignment="1" applyProtection="1">
      <alignment horizontal="center" vertical="center"/>
    </xf>
    <xf numFmtId="1" fontId="42" fillId="27" borderId="47" xfId="46" applyNumberFormat="1" applyFont="1" applyFill="1" applyBorder="1" applyAlignment="1" applyProtection="1">
      <alignment horizontal="center" vertical="center"/>
    </xf>
    <xf numFmtId="1" fontId="43" fillId="0" borderId="0" xfId="46" applyNumberFormat="1" applyFont="1" applyFill="1" applyBorder="1" applyAlignment="1" applyProtection="1">
      <alignment horizontal="left" vertical="center" shrinkToFit="1"/>
    </xf>
    <xf numFmtId="2" fontId="42" fillId="27" borderId="30" xfId="46" applyNumberFormat="1" applyFont="1" applyFill="1" applyBorder="1" applyAlignment="1" applyProtection="1">
      <alignment horizontal="center" vertical="center" shrinkToFit="1"/>
    </xf>
    <xf numFmtId="2" fontId="42" fillId="27" borderId="29" xfId="46" applyNumberFormat="1" applyFont="1" applyFill="1" applyBorder="1" applyAlignment="1" applyProtection="1">
      <alignment horizontal="center" vertical="center" shrinkToFit="1"/>
    </xf>
    <xf numFmtId="0" fontId="4" fillId="0" borderId="0" xfId="46" applyFont="1" applyFill="1" applyProtection="1"/>
    <xf numFmtId="0" fontId="4" fillId="0" borderId="0" xfId="46" applyFont="1" applyFill="1" applyAlignment="1" applyProtection="1">
      <alignment horizontal="right"/>
    </xf>
    <xf numFmtId="1" fontId="37" fillId="0" borderId="0" xfId="46" applyNumberFormat="1" applyFont="1" applyFill="1" applyBorder="1" applyAlignment="1" applyProtection="1">
      <alignment horizontal="center" textRotation="90" shrinkToFit="1"/>
    </xf>
    <xf numFmtId="2" fontId="32" fillId="0" borderId="0" xfId="0" applyNumberFormat="1" applyFont="1" applyFill="1" applyAlignment="1" applyProtection="1">
      <alignment horizontal="center" textRotation="90"/>
    </xf>
    <xf numFmtId="1" fontId="5" fillId="27" borderId="33" xfId="46" applyNumberFormat="1" applyFont="1" applyFill="1" applyBorder="1" applyAlignment="1" applyProtection="1">
      <alignment horizontal="center" vertical="center"/>
    </xf>
    <xf numFmtId="1" fontId="5" fillId="27" borderId="32" xfId="46" applyNumberFormat="1" applyFont="1" applyFill="1" applyBorder="1" applyAlignment="1" applyProtection="1">
      <alignment horizontal="center" vertical="center"/>
    </xf>
    <xf numFmtId="1" fontId="5" fillId="27" borderId="31" xfId="46" applyNumberFormat="1" applyFont="1" applyFill="1" applyBorder="1" applyAlignment="1" applyProtection="1">
      <alignment horizontal="center" vertical="center"/>
    </xf>
    <xf numFmtId="0" fontId="2" fillId="0" borderId="0" xfId="46" applyFont="1" applyFill="1" applyBorder="1" applyAlignment="1" applyProtection="1">
      <alignment horizontal="left" vertical="center" textRotation="90"/>
    </xf>
    <xf numFmtId="0" fontId="35" fillId="0" borderId="0" xfId="0" applyFont="1" applyFill="1" applyProtection="1"/>
    <xf numFmtId="2" fontId="33" fillId="0" borderId="0" xfId="46" applyNumberFormat="1" applyFont="1" applyFill="1" applyProtection="1"/>
    <xf numFmtId="0" fontId="63" fillId="0" borderId="0" xfId="46" applyFont="1" applyFill="1" applyBorder="1" applyAlignment="1" applyProtection="1">
      <alignment shrinkToFit="1"/>
    </xf>
    <xf numFmtId="0" fontId="64" fillId="0" borderId="0" xfId="0" applyFont="1" applyFill="1" applyProtection="1"/>
    <xf numFmtId="0" fontId="66" fillId="30" borderId="101" xfId="62" applyFont="1" applyFill="1" applyBorder="1" applyAlignment="1">
      <alignment horizontal="center" textRotation="90"/>
    </xf>
    <xf numFmtId="172" fontId="42" fillId="34" borderId="65" xfId="62" applyNumberFormat="1" applyFont="1" applyFill="1" applyBorder="1" applyProtection="1"/>
    <xf numFmtId="172" fontId="42" fillId="34" borderId="66" xfId="62" applyNumberFormat="1" applyFont="1" applyFill="1" applyBorder="1" applyProtection="1"/>
    <xf numFmtId="172" fontId="42" fillId="34" borderId="102" xfId="62" applyNumberFormat="1" applyFont="1" applyFill="1" applyBorder="1" applyProtection="1"/>
    <xf numFmtId="0" fontId="58" fillId="30" borderId="103" xfId="0" applyFont="1" applyFill="1" applyBorder="1" applyAlignment="1" applyProtection="1">
      <alignment horizontal="center"/>
    </xf>
    <xf numFmtId="0" fontId="58" fillId="30" borderId="103" xfId="0" applyFont="1" applyFill="1" applyBorder="1" applyAlignment="1" applyProtection="1">
      <alignment horizontal="left"/>
    </xf>
    <xf numFmtId="0" fontId="56" fillId="30" borderId="103" xfId="0" applyFont="1" applyFill="1" applyBorder="1" applyAlignment="1" applyProtection="1">
      <alignment horizontal="right"/>
    </xf>
    <xf numFmtId="1" fontId="44" fillId="30" borderId="103" xfId="0" applyNumberFormat="1" applyFont="1" applyFill="1" applyBorder="1" applyProtection="1"/>
    <xf numFmtId="0" fontId="44" fillId="30" borderId="103" xfId="0" applyFont="1" applyFill="1" applyBorder="1" applyProtection="1"/>
    <xf numFmtId="172" fontId="0" fillId="32" borderId="104" xfId="0" applyNumberFormat="1" applyFill="1" applyBorder="1" applyAlignment="1" applyProtection="1">
      <alignment horizontal="center"/>
    </xf>
    <xf numFmtId="172" fontId="0" fillId="32" borderId="105" xfId="0" applyNumberFormat="1" applyFill="1" applyBorder="1" applyAlignment="1" applyProtection="1">
      <alignment horizontal="center"/>
    </xf>
    <xf numFmtId="172" fontId="0" fillId="32" borderId="106" xfId="0" applyNumberFormat="1" applyFill="1" applyBorder="1" applyAlignment="1" applyProtection="1">
      <alignment horizontal="center"/>
    </xf>
    <xf numFmtId="0" fontId="67" fillId="30" borderId="103" xfId="0" applyFont="1" applyFill="1" applyBorder="1" applyAlignment="1" applyProtection="1">
      <alignment horizontal="right"/>
    </xf>
    <xf numFmtId="2" fontId="5" fillId="37" borderId="16" xfId="0" applyNumberFormat="1" applyFont="1" applyFill="1" applyBorder="1" applyAlignment="1" applyProtection="1">
      <alignment horizontal="center"/>
    </xf>
    <xf numFmtId="0" fontId="2" fillId="37" borderId="74" xfId="0" applyFont="1" applyFill="1" applyBorder="1" applyProtection="1"/>
    <xf numFmtId="2" fontId="5" fillId="37" borderId="11" xfId="0" applyNumberFormat="1" applyFont="1" applyFill="1" applyBorder="1" applyAlignment="1" applyProtection="1">
      <alignment horizontal="center"/>
    </xf>
    <xf numFmtId="0" fontId="2" fillId="37" borderId="6" xfId="0" applyFont="1" applyFill="1" applyBorder="1" applyProtection="1"/>
    <xf numFmtId="2" fontId="5" fillId="37" borderId="5" xfId="0" applyNumberFormat="1" applyFont="1" applyFill="1" applyBorder="1" applyAlignment="1" applyProtection="1">
      <alignment horizontal="center"/>
    </xf>
    <xf numFmtId="0" fontId="2" fillId="37" borderId="1" xfId="0" applyFont="1" applyFill="1" applyBorder="1" applyProtection="1"/>
    <xf numFmtId="164" fontId="69" fillId="37" borderId="75" xfId="0" applyNumberFormat="1" applyFont="1" applyFill="1" applyBorder="1" applyProtection="1"/>
    <xf numFmtId="0" fontId="69" fillId="37" borderId="76" xfId="0" applyFont="1" applyFill="1" applyBorder="1" applyProtection="1"/>
    <xf numFmtId="0" fontId="69" fillId="37" borderId="86" xfId="0" applyFont="1" applyFill="1" applyBorder="1" applyProtection="1"/>
    <xf numFmtId="0" fontId="62" fillId="37" borderId="74" xfId="0" applyFont="1" applyFill="1" applyBorder="1" applyProtection="1"/>
    <xf numFmtId="164" fontId="69" fillId="37" borderId="9" xfId="0" applyNumberFormat="1" applyFont="1" applyFill="1" applyBorder="1" applyProtection="1"/>
    <xf numFmtId="0" fontId="69" fillId="37" borderId="77" xfId="0" applyFont="1" applyFill="1" applyBorder="1" applyProtection="1"/>
    <xf numFmtId="0" fontId="69" fillId="37" borderId="8" xfId="0" applyFont="1" applyFill="1" applyBorder="1" applyProtection="1"/>
    <xf numFmtId="0" fontId="62" fillId="37" borderId="6" xfId="0" applyFont="1" applyFill="1" applyBorder="1" applyProtection="1"/>
    <xf numFmtId="164" fontId="62" fillId="37" borderId="3" xfId="0" applyNumberFormat="1" applyFont="1" applyFill="1" applyBorder="1" applyProtection="1"/>
    <xf numFmtId="0" fontId="62" fillId="37" borderId="43" xfId="0" applyFont="1" applyFill="1" applyBorder="1" applyProtection="1"/>
    <xf numFmtId="0" fontId="62" fillId="37" borderId="88" xfId="0" applyFont="1" applyFill="1" applyBorder="1" applyProtection="1"/>
    <xf numFmtId="0" fontId="62" fillId="37" borderId="1" xfId="0" applyFont="1" applyFill="1" applyBorder="1" applyProtection="1"/>
    <xf numFmtId="172" fontId="2" fillId="37" borderId="16" xfId="0" applyNumberFormat="1" applyFont="1" applyFill="1" applyBorder="1" applyAlignment="1" applyProtection="1">
      <alignment vertical="top"/>
    </xf>
    <xf numFmtId="171" fontId="2" fillId="37" borderId="85" xfId="0" applyNumberFormat="1" applyFont="1" applyFill="1" applyBorder="1" applyProtection="1"/>
    <xf numFmtId="164" fontId="2" fillId="37" borderId="86" xfId="0" applyNumberFormat="1" applyFont="1" applyFill="1" applyBorder="1" applyAlignment="1" applyProtection="1">
      <alignment vertical="top"/>
    </xf>
    <xf numFmtId="172" fontId="2" fillId="37" borderId="11" xfId="0" applyNumberFormat="1" applyFont="1" applyFill="1" applyBorder="1" applyAlignment="1" applyProtection="1">
      <alignment vertical="top"/>
    </xf>
    <xf numFmtId="171" fontId="2" fillId="37" borderId="10" xfId="0" applyNumberFormat="1" applyFont="1" applyFill="1" applyBorder="1" applyProtection="1"/>
    <xf numFmtId="164" fontId="2" fillId="37" borderId="8" xfId="0" applyNumberFormat="1" applyFont="1" applyFill="1" applyBorder="1" applyAlignment="1" applyProtection="1">
      <alignment vertical="top"/>
    </xf>
    <xf numFmtId="172" fontId="2" fillId="37" borderId="11" xfId="0" applyNumberFormat="1" applyFont="1" applyFill="1" applyBorder="1" applyProtection="1"/>
    <xf numFmtId="164" fontId="2" fillId="37" borderId="8" xfId="0" applyNumberFormat="1" applyFont="1" applyFill="1" applyBorder="1" applyProtection="1"/>
    <xf numFmtId="164" fontId="2" fillId="37" borderId="5" xfId="0" applyNumberFormat="1" applyFont="1" applyFill="1" applyBorder="1" applyProtection="1"/>
    <xf numFmtId="0" fontId="2" fillId="37" borderId="87" xfId="0" applyFont="1" applyFill="1" applyBorder="1" applyProtection="1"/>
    <xf numFmtId="164" fontId="2" fillId="37" borderId="88" xfId="0" applyNumberFormat="1" applyFont="1" applyFill="1" applyBorder="1" applyProtection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Border="1" applyAlignment="1" applyProtection="1"/>
    <xf numFmtId="0" fontId="59" fillId="0" borderId="0" xfId="0" applyFont="1" applyProtection="1"/>
    <xf numFmtId="0" fontId="0" fillId="0" borderId="84" xfId="0" applyBorder="1" applyAlignment="1" applyProtection="1"/>
    <xf numFmtId="0" fontId="3" fillId="0" borderId="0" xfId="0" applyFont="1" applyProtection="1"/>
    <xf numFmtId="0" fontId="49" fillId="0" borderId="0" xfId="0" applyFont="1" applyBorder="1" applyAlignment="1"/>
    <xf numFmtId="2" fontId="5" fillId="36" borderId="31" xfId="46" applyNumberFormat="1" applyFont="1" applyFill="1" applyBorder="1" applyAlignment="1" applyProtection="1">
      <alignment horizontal="center" vertical="center" shrinkToFit="1"/>
    </xf>
    <xf numFmtId="2" fontId="5" fillId="36" borderId="36" xfId="46" applyNumberFormat="1" applyFont="1" applyFill="1" applyBorder="1" applyAlignment="1" applyProtection="1">
      <alignment horizontal="center" vertical="center" shrinkToFit="1"/>
    </xf>
    <xf numFmtId="2" fontId="5" fillId="36" borderId="28" xfId="46" applyNumberFormat="1" applyFont="1" applyFill="1" applyBorder="1" applyAlignment="1" applyProtection="1">
      <alignment horizontal="center" vertical="center" shrinkToFit="1"/>
    </xf>
    <xf numFmtId="2" fontId="5" fillId="36" borderId="30" xfId="46" applyNumberFormat="1" applyFont="1" applyFill="1" applyBorder="1" applyAlignment="1">
      <alignment horizontal="center" vertical="center"/>
    </xf>
    <xf numFmtId="2" fontId="5" fillId="36" borderId="29" xfId="46" applyNumberFormat="1" applyFont="1" applyFill="1" applyBorder="1" applyAlignment="1">
      <alignment horizontal="center" vertical="center"/>
    </xf>
    <xf numFmtId="2" fontId="5" fillId="36" borderId="28" xfId="46" applyNumberFormat="1" applyFont="1" applyFill="1" applyBorder="1" applyAlignment="1">
      <alignment horizontal="center" vertical="center"/>
    </xf>
    <xf numFmtId="2" fontId="5" fillId="36" borderId="30" xfId="46" applyNumberFormat="1" applyFont="1" applyFill="1" applyBorder="1" applyAlignment="1" applyProtection="1">
      <alignment horizontal="center" vertical="center"/>
    </xf>
    <xf numFmtId="2" fontId="5" fillId="36" borderId="29" xfId="46" applyNumberFormat="1" applyFont="1" applyFill="1" applyBorder="1" applyAlignment="1" applyProtection="1">
      <alignment horizontal="center" vertical="center"/>
    </xf>
    <xf numFmtId="2" fontId="5" fillId="36" borderId="28" xfId="46" applyNumberFormat="1" applyFont="1" applyFill="1" applyBorder="1" applyAlignment="1" applyProtection="1">
      <alignment horizontal="center" vertical="center"/>
    </xf>
    <xf numFmtId="172" fontId="2" fillId="38" borderId="16" xfId="0" applyNumberFormat="1" applyFont="1" applyFill="1" applyBorder="1" applyAlignment="1" applyProtection="1">
      <alignment vertical="top"/>
    </xf>
    <xf numFmtId="171" fontId="2" fillId="38" borderId="85" xfId="0" applyNumberFormat="1" applyFont="1" applyFill="1" applyBorder="1" applyProtection="1"/>
    <xf numFmtId="164" fontId="2" fillId="38" borderId="86" xfId="0" applyNumberFormat="1" applyFont="1" applyFill="1" applyBorder="1" applyAlignment="1" applyProtection="1">
      <alignment vertical="top"/>
    </xf>
    <xf numFmtId="0" fontId="2" fillId="38" borderId="74" xfId="0" applyFont="1" applyFill="1" applyBorder="1" applyProtection="1"/>
    <xf numFmtId="172" fontId="2" fillId="38" borderId="11" xfId="0" applyNumberFormat="1" applyFont="1" applyFill="1" applyBorder="1" applyAlignment="1" applyProtection="1">
      <alignment vertical="top"/>
    </xf>
    <xf numFmtId="171" fontId="2" fillId="38" borderId="10" xfId="0" applyNumberFormat="1" applyFont="1" applyFill="1" applyBorder="1" applyProtection="1"/>
    <xf numFmtId="164" fontId="2" fillId="38" borderId="8" xfId="0" applyNumberFormat="1" applyFont="1" applyFill="1" applyBorder="1" applyAlignment="1" applyProtection="1">
      <alignment vertical="top"/>
    </xf>
    <xf numFmtId="0" fontId="2" fillId="38" borderId="6" xfId="0" applyFont="1" applyFill="1" applyBorder="1" applyProtection="1"/>
    <xf numFmtId="172" fontId="2" fillId="38" borderId="11" xfId="0" applyNumberFormat="1" applyFont="1" applyFill="1" applyBorder="1" applyProtection="1"/>
    <xf numFmtId="164" fontId="2" fillId="38" borderId="8" xfId="0" applyNumberFormat="1" applyFont="1" applyFill="1" applyBorder="1" applyProtection="1"/>
    <xf numFmtId="164" fontId="2" fillId="38" borderId="5" xfId="0" applyNumberFormat="1" applyFont="1" applyFill="1" applyBorder="1" applyProtection="1"/>
    <xf numFmtId="0" fontId="2" fillId="38" borderId="87" xfId="0" applyFont="1" applyFill="1" applyBorder="1" applyProtection="1"/>
    <xf numFmtId="164" fontId="2" fillId="38" borderId="88" xfId="0" applyNumberFormat="1" applyFont="1" applyFill="1" applyBorder="1" applyProtection="1"/>
    <xf numFmtId="0" fontId="2" fillId="38" borderId="1" xfId="0" applyFont="1" applyFill="1" applyBorder="1" applyProtection="1"/>
    <xf numFmtId="0" fontId="62" fillId="38" borderId="74" xfId="0" applyFont="1" applyFill="1" applyBorder="1" applyProtection="1"/>
    <xf numFmtId="0" fontId="62" fillId="38" borderId="6" xfId="0" applyFont="1" applyFill="1" applyBorder="1" applyProtection="1"/>
    <xf numFmtId="164" fontId="62" fillId="38" borderId="3" xfId="0" applyNumberFormat="1" applyFont="1" applyFill="1" applyBorder="1" applyProtection="1"/>
    <xf numFmtId="0" fontId="62" fillId="38" borderId="43" xfId="0" applyFont="1" applyFill="1" applyBorder="1" applyProtection="1"/>
    <xf numFmtId="0" fontId="62" fillId="38" borderId="88" xfId="0" applyFont="1" applyFill="1" applyBorder="1" applyProtection="1"/>
    <xf numFmtId="0" fontId="62" fillId="38" borderId="1" xfId="0" applyFont="1" applyFill="1" applyBorder="1" applyProtection="1"/>
    <xf numFmtId="2" fontId="5" fillId="38" borderId="16" xfId="0" applyNumberFormat="1" applyFont="1" applyFill="1" applyBorder="1" applyAlignment="1" applyProtection="1">
      <alignment horizontal="center"/>
    </xf>
    <xf numFmtId="2" fontId="5" fillId="38" borderId="11" xfId="0" applyNumberFormat="1" applyFont="1" applyFill="1" applyBorder="1" applyAlignment="1" applyProtection="1">
      <alignment horizontal="center"/>
    </xf>
    <xf numFmtId="2" fontId="5" fillId="38" borderId="5" xfId="0" applyNumberFormat="1" applyFont="1" applyFill="1" applyBorder="1" applyAlignment="1" applyProtection="1">
      <alignment horizontal="center"/>
    </xf>
    <xf numFmtId="166" fontId="4" fillId="38" borderId="80" xfId="0" applyNumberFormat="1" applyFont="1" applyFill="1" applyBorder="1" applyProtection="1"/>
    <xf numFmtId="0" fontId="6" fillId="38" borderId="15" xfId="0" applyFont="1" applyFill="1" applyBorder="1" applyProtection="1"/>
    <xf numFmtId="172" fontId="2" fillId="38" borderId="6" xfId="0" applyNumberFormat="1" applyFont="1" applyFill="1" applyBorder="1" applyProtection="1"/>
    <xf numFmtId="0" fontId="60" fillId="38" borderId="78" xfId="0" applyFont="1" applyFill="1" applyBorder="1" applyProtection="1"/>
    <xf numFmtId="0" fontId="60" fillId="38" borderId="79" xfId="0" applyFont="1" applyFill="1" applyBorder="1" applyProtection="1"/>
    <xf numFmtId="0" fontId="60" fillId="38" borderId="100" xfId="0" applyFont="1" applyFill="1" applyBorder="1" applyProtection="1"/>
    <xf numFmtId="0" fontId="60" fillId="38" borderId="15" xfId="0" applyFont="1" applyFill="1" applyBorder="1" applyProtection="1"/>
    <xf numFmtId="0" fontId="42" fillId="38" borderId="9" xfId="0" applyFont="1" applyFill="1" applyBorder="1" applyProtection="1">
      <protection locked="0"/>
    </xf>
    <xf numFmtId="0" fontId="42" fillId="38" borderId="77" xfId="0" applyFont="1" applyFill="1" applyBorder="1" applyProtection="1">
      <protection locked="0"/>
    </xf>
    <xf numFmtId="0" fontId="42" fillId="38" borderId="8" xfId="0" applyFont="1" applyFill="1" applyBorder="1" applyProtection="1">
      <protection locked="0"/>
    </xf>
    <xf numFmtId="0" fontId="42" fillId="38" borderId="6" xfId="0" applyFont="1" applyFill="1" applyBorder="1" applyProtection="1"/>
    <xf numFmtId="0" fontId="40" fillId="38" borderId="3" xfId="0" applyFont="1" applyFill="1" applyBorder="1" applyProtection="1"/>
    <xf numFmtId="0" fontId="40" fillId="38" borderId="43" xfId="0" applyFont="1" applyFill="1" applyBorder="1" applyProtection="1"/>
    <xf numFmtId="0" fontId="40" fillId="38" borderId="88" xfId="0" applyFont="1" applyFill="1" applyBorder="1" applyProtection="1"/>
    <xf numFmtId="0" fontId="40" fillId="38" borderId="1" xfId="0" applyFont="1" applyFill="1" applyBorder="1" applyProtection="1"/>
    <xf numFmtId="166" fontId="4" fillId="38" borderId="80" xfId="0" applyNumberFormat="1" applyFont="1" applyFill="1" applyBorder="1" applyAlignment="1" applyProtection="1">
      <alignment horizontal="center"/>
    </xf>
    <xf numFmtId="166" fontId="4" fillId="38" borderId="15" xfId="0" applyNumberFormat="1" applyFont="1" applyFill="1" applyBorder="1" applyAlignment="1" applyProtection="1">
      <alignment horizontal="center"/>
    </xf>
    <xf numFmtId="0" fontId="2" fillId="38" borderId="14" xfId="0" applyFont="1" applyFill="1" applyBorder="1" applyProtection="1"/>
    <xf numFmtId="164" fontId="69" fillId="38" borderId="75" xfId="0" applyNumberFormat="1" applyFont="1" applyFill="1" applyBorder="1" applyProtection="1"/>
    <xf numFmtId="0" fontId="69" fillId="38" borderId="76" xfId="0" applyFont="1" applyFill="1" applyBorder="1" applyProtection="1"/>
    <xf numFmtId="0" fontId="69" fillId="38" borderId="86" xfId="0" applyFont="1" applyFill="1" applyBorder="1" applyProtection="1"/>
    <xf numFmtId="164" fontId="69" fillId="38" borderId="9" xfId="0" applyNumberFormat="1" applyFont="1" applyFill="1" applyBorder="1" applyProtection="1"/>
    <xf numFmtId="0" fontId="69" fillId="38" borderId="77" xfId="0" applyFont="1" applyFill="1" applyBorder="1" applyProtection="1"/>
    <xf numFmtId="0" fontId="69" fillId="38" borderId="8" xfId="0" applyFont="1" applyFill="1" applyBorder="1" applyProtection="1"/>
    <xf numFmtId="0" fontId="51" fillId="0" borderId="0" xfId="0" applyFont="1" applyBorder="1" applyAlignment="1"/>
    <xf numFmtId="0" fontId="52" fillId="30" borderId="98" xfId="0" applyNumberFormat="1" applyFont="1" applyFill="1" applyBorder="1" applyAlignment="1">
      <alignment horizontal="left" vertical="center"/>
    </xf>
    <xf numFmtId="0" fontId="47" fillId="26" borderId="0" xfId="0" applyFont="1" applyFill="1" applyProtection="1"/>
    <xf numFmtId="0" fontId="0" fillId="0" borderId="0" xfId="0" applyFont="1" applyProtection="1"/>
    <xf numFmtId="0" fontId="61" fillId="0" borderId="0" xfId="0" applyFont="1" applyAlignment="1"/>
    <xf numFmtId="173" fontId="71" fillId="30" borderId="99" xfId="0" applyNumberFormat="1" applyFont="1" applyFill="1" applyBorder="1" applyAlignment="1">
      <alignment horizontal="left" vertical="center"/>
    </xf>
    <xf numFmtId="0" fontId="50" fillId="31" borderId="110" xfId="0" applyNumberFormat="1" applyFont="1" applyFill="1" applyBorder="1" applyAlignment="1" applyProtection="1">
      <alignment horizontal="left"/>
      <protection locked="0"/>
    </xf>
    <xf numFmtId="0" fontId="51" fillId="0" borderId="96" xfId="0" applyFont="1" applyBorder="1" applyAlignment="1">
      <alignment horizontal="right"/>
    </xf>
    <xf numFmtId="0" fontId="72" fillId="0" borderId="96" xfId="0" applyFont="1" applyBorder="1" applyAlignment="1">
      <alignment horizontal="right"/>
    </xf>
    <xf numFmtId="0" fontId="50" fillId="31" borderId="110" xfId="0" applyNumberFormat="1" applyFont="1" applyFill="1" applyBorder="1" applyAlignment="1" applyProtection="1">
      <alignment horizontal="center"/>
      <protection locked="0"/>
    </xf>
    <xf numFmtId="9" fontId="50" fillId="31" borderId="110" xfId="0" applyNumberFormat="1" applyFont="1" applyFill="1" applyBorder="1" applyAlignment="1" applyProtection="1">
      <alignment horizontal="center"/>
      <protection locked="0"/>
    </xf>
    <xf numFmtId="0" fontId="43" fillId="0" borderId="110" xfId="0" applyFont="1" applyBorder="1" applyAlignment="1" applyProtection="1">
      <alignment horizontal="center"/>
      <protection locked="0"/>
    </xf>
    <xf numFmtId="172" fontId="4" fillId="35" borderId="16" xfId="46" applyNumberFormat="1" applyFont="1" applyFill="1" applyBorder="1" applyAlignment="1" applyProtection="1">
      <alignment horizontal="left" vertical="center"/>
    </xf>
    <xf numFmtId="172" fontId="4" fillId="35" borderId="85" xfId="46" applyNumberFormat="1" applyFont="1" applyFill="1" applyBorder="1" applyAlignment="1" applyProtection="1">
      <alignment horizontal="left" vertical="center"/>
    </xf>
    <xf numFmtId="172" fontId="4" fillId="35" borderId="11" xfId="46" applyNumberFormat="1" applyFont="1" applyFill="1" applyBorder="1" applyAlignment="1" applyProtection="1">
      <alignment horizontal="left" vertical="center"/>
    </xf>
    <xf numFmtId="172" fontId="4" fillId="35" borderId="10" xfId="46" applyNumberFormat="1" applyFont="1" applyFill="1" applyBorder="1" applyAlignment="1" applyProtection="1">
      <alignment horizontal="left" vertical="center"/>
    </xf>
    <xf numFmtId="0" fontId="0" fillId="0" borderId="0" xfId="0" applyAlignment="1" applyProtection="1"/>
    <xf numFmtId="0" fontId="2" fillId="27" borderId="111" xfId="46" applyFont="1" applyFill="1" applyBorder="1" applyAlignment="1" applyProtection="1">
      <alignment horizontal="left" vertical="center" wrapText="1"/>
    </xf>
    <xf numFmtId="0" fontId="2" fillId="27" borderId="112" xfId="46" applyFont="1" applyFill="1" applyBorder="1" applyAlignment="1" applyProtection="1">
      <alignment horizontal="left" vertical="center" wrapText="1"/>
    </xf>
    <xf numFmtId="2" fontId="5" fillId="28" borderId="113" xfId="46" applyNumberFormat="1" applyFont="1" applyFill="1" applyBorder="1" applyAlignment="1" applyProtection="1">
      <alignment horizontal="center" vertical="center" shrinkToFit="1"/>
    </xf>
    <xf numFmtId="170" fontId="38" fillId="27" borderId="114" xfId="0" applyNumberFormat="1" applyFont="1" applyFill="1" applyBorder="1" applyAlignment="1" applyProtection="1">
      <alignment horizontal="center" vertical="center"/>
    </xf>
    <xf numFmtId="170" fontId="38" fillId="27" borderId="115" xfId="0" applyNumberFormat="1" applyFont="1" applyFill="1" applyBorder="1" applyAlignment="1" applyProtection="1">
      <alignment horizontal="center" vertical="center"/>
    </xf>
    <xf numFmtId="170" fontId="38" fillId="27" borderId="113" xfId="0" applyNumberFormat="1" applyFont="1" applyFill="1" applyBorder="1" applyAlignment="1" applyProtection="1">
      <alignment horizontal="center" vertical="center"/>
    </xf>
    <xf numFmtId="1" fontId="2" fillId="27" borderId="114" xfId="46" applyNumberFormat="1" applyFont="1" applyFill="1" applyBorder="1" applyAlignment="1" applyProtection="1">
      <alignment horizontal="center" vertical="center" shrinkToFit="1"/>
    </xf>
    <xf numFmtId="2" fontId="5" fillId="36" borderId="113" xfId="46" applyNumberFormat="1" applyFont="1" applyFill="1" applyBorder="1" applyAlignment="1" applyProtection="1">
      <alignment horizontal="center" vertical="center" shrinkToFit="1"/>
    </xf>
    <xf numFmtId="0" fontId="2" fillId="27" borderId="111" xfId="46" applyFont="1" applyFill="1" applyBorder="1" applyAlignment="1" applyProtection="1">
      <alignment horizontal="left" vertical="center"/>
    </xf>
    <xf numFmtId="0" fontId="2" fillId="27" borderId="14" xfId="46" applyFont="1" applyFill="1" applyBorder="1" applyAlignment="1" applyProtection="1">
      <alignment horizontal="left" vertical="center"/>
    </xf>
    <xf numFmtId="2" fontId="42" fillId="29" borderId="116" xfId="46" applyNumberFormat="1" applyFont="1" applyFill="1" applyBorder="1" applyAlignment="1" applyProtection="1">
      <alignment horizontal="center" vertical="center" shrinkToFit="1"/>
    </xf>
    <xf numFmtId="170" fontId="38" fillId="27" borderId="114" xfId="1" applyNumberFormat="1" applyFont="1" applyFill="1" applyBorder="1" applyAlignment="1" applyProtection="1">
      <alignment horizontal="center" vertical="center"/>
    </xf>
    <xf numFmtId="170" fontId="38" fillId="27" borderId="115" xfId="1" applyNumberFormat="1" applyFont="1" applyFill="1" applyBorder="1" applyAlignment="1" applyProtection="1">
      <alignment horizontal="center" vertical="center"/>
    </xf>
    <xf numFmtId="170" fontId="38" fillId="27" borderId="113" xfId="1" applyNumberFormat="1" applyFont="1" applyFill="1" applyBorder="1" applyAlignment="1" applyProtection="1">
      <alignment horizontal="center" vertical="center"/>
    </xf>
    <xf numFmtId="1" fontId="42" fillId="27" borderId="114" xfId="46" applyNumberFormat="1" applyFont="1" applyFill="1" applyBorder="1" applyAlignment="1" applyProtection="1">
      <alignment horizontal="center" vertical="center" shrinkToFit="1"/>
    </xf>
    <xf numFmtId="2" fontId="42" fillId="27" borderId="113" xfId="46" applyNumberFormat="1" applyFont="1" applyFill="1" applyBorder="1" applyAlignment="1" applyProtection="1">
      <alignment horizontal="center" vertical="center" shrinkToFit="1"/>
    </xf>
    <xf numFmtId="0" fontId="0" fillId="0" borderId="0" xfId="0" applyAlignment="1" applyProtection="1"/>
    <xf numFmtId="0" fontId="2" fillId="27" borderId="117" xfId="46" applyFont="1" applyFill="1" applyBorder="1" applyAlignment="1" applyProtection="1">
      <alignment horizontal="center" textRotation="90" wrapText="1"/>
    </xf>
    <xf numFmtId="0" fontId="2" fillId="27" borderId="88" xfId="46" applyFont="1" applyFill="1" applyBorder="1" applyAlignment="1" applyProtection="1">
      <alignment horizontal="center" textRotation="90" wrapText="1"/>
    </xf>
    <xf numFmtId="170" fontId="38" fillId="27" borderId="118" xfId="0" applyNumberFormat="1" applyFont="1" applyFill="1" applyBorder="1" applyAlignment="1" applyProtection="1">
      <alignment horizontal="center" vertical="center"/>
    </xf>
    <xf numFmtId="170" fontId="38" fillId="27" borderId="119" xfId="0" applyNumberFormat="1" applyFont="1" applyFill="1" applyBorder="1" applyAlignment="1" applyProtection="1">
      <alignment horizontal="center" vertical="center"/>
    </xf>
    <xf numFmtId="170" fontId="38" fillId="27" borderId="120" xfId="0" applyNumberFormat="1" applyFont="1" applyFill="1" applyBorder="1" applyAlignment="1" applyProtection="1">
      <alignment horizontal="center" vertical="center"/>
    </xf>
    <xf numFmtId="170" fontId="38" fillId="27" borderId="121" xfId="0" applyNumberFormat="1" applyFont="1" applyFill="1" applyBorder="1" applyAlignment="1" applyProtection="1">
      <alignment horizontal="center" vertical="center"/>
    </xf>
    <xf numFmtId="1" fontId="5" fillId="27" borderId="118" xfId="46" applyNumberFormat="1" applyFont="1" applyFill="1" applyBorder="1" applyAlignment="1">
      <alignment horizontal="center" vertical="center"/>
    </xf>
    <xf numFmtId="2" fontId="5" fillId="36" borderId="121" xfId="46" applyNumberFormat="1" applyFont="1" applyFill="1" applyBorder="1" applyAlignment="1">
      <alignment horizontal="center" vertical="center"/>
    </xf>
    <xf numFmtId="1" fontId="5" fillId="27" borderId="118" xfId="46" applyNumberFormat="1" applyFont="1" applyFill="1" applyBorder="1" applyAlignment="1" applyProtection="1">
      <alignment horizontal="center" vertical="center"/>
    </xf>
    <xf numFmtId="2" fontId="5" fillId="36" borderId="121" xfId="46" applyNumberFormat="1" applyFont="1" applyFill="1" applyBorder="1" applyAlignment="1" applyProtection="1">
      <alignment horizontal="center" vertical="center"/>
    </xf>
    <xf numFmtId="0" fontId="2" fillId="27" borderId="117" xfId="46" applyFont="1" applyFill="1" applyBorder="1" applyAlignment="1" applyProtection="1">
      <alignment horizontal="center" textRotation="90"/>
    </xf>
    <xf numFmtId="0" fontId="2" fillId="27" borderId="88" xfId="46" applyFont="1" applyFill="1" applyBorder="1" applyAlignment="1" applyProtection="1">
      <alignment horizontal="center" textRotation="90"/>
    </xf>
    <xf numFmtId="170" fontId="38" fillId="27" borderId="118" xfId="1" applyNumberFormat="1" applyFont="1" applyFill="1" applyBorder="1" applyAlignment="1" applyProtection="1">
      <alignment horizontal="center" vertical="center"/>
    </xf>
    <xf numFmtId="170" fontId="38" fillId="27" borderId="119" xfId="1" applyNumberFormat="1" applyFont="1" applyFill="1" applyBorder="1" applyAlignment="1" applyProtection="1">
      <alignment horizontal="center" vertical="center"/>
    </xf>
    <xf numFmtId="170" fontId="38" fillId="27" borderId="120" xfId="1" applyNumberFormat="1" applyFont="1" applyFill="1" applyBorder="1" applyAlignment="1" applyProtection="1">
      <alignment horizontal="center" vertical="center"/>
    </xf>
    <xf numFmtId="170" fontId="38" fillId="27" borderId="121" xfId="1" applyNumberFormat="1" applyFont="1" applyFill="1" applyBorder="1" applyAlignment="1" applyProtection="1">
      <alignment horizontal="center" vertical="center"/>
    </xf>
    <xf numFmtId="1" fontId="42" fillId="27" borderId="122" xfId="46" applyNumberFormat="1" applyFont="1" applyFill="1" applyBorder="1" applyAlignment="1" applyProtection="1">
      <alignment horizontal="center" vertical="center"/>
    </xf>
    <xf numFmtId="2" fontId="42" fillId="27" borderId="121" xfId="46" applyNumberFormat="1" applyFont="1" applyFill="1" applyBorder="1" applyAlignment="1" applyProtection="1">
      <alignment horizontal="center" vertical="center" shrinkToFit="1"/>
    </xf>
    <xf numFmtId="0" fontId="52" fillId="30" borderId="97" xfId="0" applyNumberFormat="1" applyFont="1" applyFill="1" applyBorder="1" applyAlignment="1">
      <alignment horizontal="left" vertical="center"/>
    </xf>
    <xf numFmtId="0" fontId="52" fillId="30" borderId="98" xfId="0" applyNumberFormat="1" applyFont="1" applyFill="1" applyBorder="1" applyAlignment="1">
      <alignment horizontal="left" vertical="center"/>
    </xf>
    <xf numFmtId="0" fontId="50" fillId="31" borderId="93" xfId="0" applyNumberFormat="1" applyFont="1" applyFill="1" applyBorder="1" applyAlignment="1" applyProtection="1">
      <alignment horizontal="left"/>
      <protection locked="0"/>
    </xf>
    <xf numFmtId="0" fontId="50" fillId="31" borderId="94" xfId="0" applyNumberFormat="1" applyFont="1" applyFill="1" applyBorder="1" applyAlignment="1" applyProtection="1">
      <alignment horizontal="left"/>
      <protection locked="0"/>
    </xf>
    <xf numFmtId="0" fontId="0" fillId="0" borderId="95" xfId="0" applyBorder="1" applyAlignment="1">
      <alignment horizontal="left"/>
    </xf>
    <xf numFmtId="0" fontId="65" fillId="0" borderId="84" xfId="46" applyFont="1" applyBorder="1" applyAlignment="1">
      <alignment horizontal="left"/>
    </xf>
    <xf numFmtId="0" fontId="70" fillId="0" borderId="84" xfId="0" applyFont="1" applyBorder="1" applyAlignment="1"/>
    <xf numFmtId="0" fontId="52" fillId="33" borderId="97" xfId="0" applyNumberFormat="1" applyFont="1" applyFill="1" applyBorder="1" applyAlignment="1">
      <alignment horizontal="left" vertical="center"/>
    </xf>
    <xf numFmtId="0" fontId="0" fillId="0" borderId="98" xfId="0" applyBorder="1" applyAlignment="1">
      <alignment horizontal="left" vertical="center"/>
    </xf>
    <xf numFmtId="0" fontId="0" fillId="0" borderId="99" xfId="0" applyBorder="1" applyAlignment="1">
      <alignment horizontal="left" vertical="center"/>
    </xf>
    <xf numFmtId="0" fontId="50" fillId="31" borderId="107" xfId="0" applyNumberFormat="1" applyFont="1" applyFill="1" applyBorder="1" applyAlignment="1" applyProtection="1">
      <alignment horizontal="left"/>
      <protection locked="0"/>
    </xf>
    <xf numFmtId="0" fontId="0" fillId="0" borderId="108" xfId="0" applyBorder="1" applyAlignment="1">
      <alignment horizontal="left"/>
    </xf>
    <xf numFmtId="0" fontId="0" fillId="0" borderId="109" xfId="0" applyBorder="1" applyAlignment="1">
      <alignment horizontal="left"/>
    </xf>
    <xf numFmtId="0" fontId="6" fillId="0" borderId="84" xfId="0" applyFont="1" applyBorder="1" applyAlignment="1" applyProtection="1"/>
    <xf numFmtId="0" fontId="68" fillId="0" borderId="84" xfId="0" applyFont="1" applyBorder="1" applyAlignment="1" applyProtection="1"/>
    <xf numFmtId="0" fontId="7" fillId="0" borderId="0" xfId="0" applyFont="1" applyAlignment="1" applyProtection="1"/>
    <xf numFmtId="0" fontId="0" fillId="0" borderId="0" xfId="0" applyAlignment="1" applyProtection="1"/>
    <xf numFmtId="0" fontId="6" fillId="0" borderId="0" xfId="0" applyFont="1" applyAlignment="1" applyProtection="1">
      <alignment horizontal="left" vertical="top"/>
    </xf>
    <xf numFmtId="0" fontId="7" fillId="0" borderId="0" xfId="46" applyFont="1" applyFill="1" applyAlignment="1">
      <alignment horizontal="left"/>
    </xf>
    <xf numFmtId="0" fontId="6" fillId="0" borderId="0" xfId="46" applyFont="1" applyFill="1" applyAlignment="1">
      <alignment horizontal="left" vertical="top"/>
    </xf>
    <xf numFmtId="0" fontId="6" fillId="0" borderId="26" xfId="46" applyFont="1" applyBorder="1" applyAlignment="1">
      <alignment horizontal="left"/>
    </xf>
    <xf numFmtId="0" fontId="7" fillId="0" borderId="0" xfId="46" applyFont="1" applyFill="1" applyAlignment="1" applyProtection="1">
      <alignment horizontal="left"/>
    </xf>
    <xf numFmtId="0" fontId="6" fillId="0" borderId="0" xfId="46" applyFont="1" applyFill="1" applyAlignment="1" applyProtection="1">
      <alignment horizontal="left" vertical="top"/>
    </xf>
    <xf numFmtId="0" fontId="6" fillId="0" borderId="26" xfId="46" applyFont="1" applyFill="1" applyBorder="1" applyAlignment="1" applyProtection="1">
      <alignment horizontal="left"/>
    </xf>
    <xf numFmtId="0" fontId="45" fillId="0" borderId="0" xfId="46" applyFont="1" applyFill="1" applyProtection="1"/>
    <xf numFmtId="0" fontId="45" fillId="0" borderId="0" xfId="46" applyFont="1" applyAlignment="1" applyProtection="1">
      <alignment vertical="top" wrapText="1"/>
    </xf>
    <xf numFmtId="0" fontId="6" fillId="0" borderId="26" xfId="46" applyFont="1" applyFill="1" applyBorder="1" applyProtection="1"/>
    <xf numFmtId="0" fontId="45" fillId="30" borderId="0" xfId="0" applyFont="1" applyFill="1" applyBorder="1" applyProtection="1"/>
    <xf numFmtId="0" fontId="45" fillId="30" borderId="0" xfId="0" applyFont="1" applyFill="1" applyBorder="1" applyAlignment="1">
      <alignment horizontal="left"/>
    </xf>
    <xf numFmtId="0" fontId="0" fillId="0" borderId="0" xfId="0" applyAlignment="1"/>
    <xf numFmtId="0" fontId="57" fillId="30" borderId="0" xfId="62" applyFont="1" applyFill="1" applyBorder="1" applyAlignment="1">
      <alignment horizontal="left"/>
    </xf>
  </cellXfs>
  <cellStyles count="63">
    <cellStyle name="20% - Accent1 2" xfId="3"/>
    <cellStyle name="20% - Accent2 2" xfId="4"/>
    <cellStyle name="20% - Accent3 2" xfId="5"/>
    <cellStyle name="20% - Accent4 2" xfId="6"/>
    <cellStyle name="20% - Accent5 2" xfId="7"/>
    <cellStyle name="20% - Accent6 2" xfId="8"/>
    <cellStyle name="40% - Accent1 2" xfId="9"/>
    <cellStyle name="40% - Accent2 2" xfId="10"/>
    <cellStyle name="40% - Accent3 2" xfId="11"/>
    <cellStyle name="40% - Accent4 2" xfId="12"/>
    <cellStyle name="40% - Accent5 2" xfId="13"/>
    <cellStyle name="40% - Accent6 2" xfId="14"/>
    <cellStyle name="60% - Accent1 2" xfId="15"/>
    <cellStyle name="60% - Accent2 2" xfId="16"/>
    <cellStyle name="60% - Accent3 2" xfId="17"/>
    <cellStyle name="60% - Accent4 2" xfId="18"/>
    <cellStyle name="60% - Accent5 2" xfId="19"/>
    <cellStyle name="60% - Accent6 2" xfId="20"/>
    <cellStyle name="Accent1 2" xfId="21"/>
    <cellStyle name="Accent2 2" xfId="22"/>
    <cellStyle name="Accent3 2" xfId="23"/>
    <cellStyle name="Accent4 2" xfId="24"/>
    <cellStyle name="Accent5 2" xfId="25"/>
    <cellStyle name="Accent6 2" xfId="26"/>
    <cellStyle name="Bad 2" xfId="27"/>
    <cellStyle name="Calculation 2" xfId="28"/>
    <cellStyle name="Check Cell 2" xfId="29"/>
    <cellStyle name="Comma 2" xfId="30"/>
    <cellStyle name="Currency 2" xfId="31"/>
    <cellStyle name="Euro" xfId="32"/>
    <cellStyle name="Explanatory Text 2" xfId="33"/>
    <cellStyle name="Good 2" xfId="34"/>
    <cellStyle name="Heading 1 2" xfId="35"/>
    <cellStyle name="Heading 2 2" xfId="36"/>
    <cellStyle name="Heading 3 2" xfId="37"/>
    <cellStyle name="Heading 4 2" xfId="38"/>
    <cellStyle name="Input 2" xfId="39"/>
    <cellStyle name="Linked Cell 2" xfId="40"/>
    <cellStyle name="Neutral 2" xfId="41"/>
    <cellStyle name="Normal" xfId="0" builtinId="0"/>
    <cellStyle name="Normal 2" xfId="42"/>
    <cellStyle name="Normal 2 2" xfId="43"/>
    <cellStyle name="Normal 2 3" xfId="2"/>
    <cellStyle name="Normal 2_CPA-ServiceValue_2010" xfId="44"/>
    <cellStyle name="Normal 3" xfId="45"/>
    <cellStyle name="Normal 4" xfId="1"/>
    <cellStyle name="Normal 5" xfId="62"/>
    <cellStyle name="Normal_Basic Matrix" xfId="46"/>
    <cellStyle name="Note 2" xfId="47"/>
    <cellStyle name="Output 2" xfId="48"/>
    <cellStyle name="Percent 2" xfId="49"/>
    <cellStyle name="Percent 3" xfId="50"/>
    <cellStyle name="Standard_Hungary" xfId="51"/>
    <cellStyle name="Title 2" xfId="52"/>
    <cellStyle name="Total 2" xfId="53"/>
    <cellStyle name="Untitled1" xfId="54"/>
    <cellStyle name="Untitled2" xfId="55"/>
    <cellStyle name="Untitled3" xfId="56"/>
    <cellStyle name="Untitled4" xfId="57"/>
    <cellStyle name="Untitled5" xfId="58"/>
    <cellStyle name="Untitled6" xfId="59"/>
    <cellStyle name="Untitled7" xfId="60"/>
    <cellStyle name="Warning Text 2" xfId="61"/>
  </cellStyles>
  <dxfs count="16">
    <dxf>
      <font>
        <condense val="0"/>
        <extend val="0"/>
        <color indexed="10"/>
      </font>
    </dxf>
    <dxf>
      <font>
        <condense val="0"/>
        <extend val="0"/>
        <color indexed="52"/>
      </font>
    </dxf>
    <dxf>
      <font>
        <condense val="0"/>
        <extend val="0"/>
        <color indexed="11"/>
      </font>
      <fill>
        <patternFill>
          <bgColor indexed="9"/>
        </patternFill>
      </fill>
    </dxf>
    <dxf>
      <font>
        <b val="0"/>
        <i val="0"/>
        <condense val="0"/>
        <extend val="0"/>
        <color indexed="48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52"/>
      </font>
    </dxf>
    <dxf>
      <font>
        <b/>
        <i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2"/>
      </font>
    </dxf>
    <dxf>
      <font>
        <condense val="0"/>
        <extend val="0"/>
        <color indexed="11"/>
      </font>
      <fill>
        <patternFill>
          <bgColor indexed="9"/>
        </patternFill>
      </fill>
    </dxf>
    <dxf>
      <font>
        <b val="0"/>
        <i val="0"/>
        <condense val="0"/>
        <extend val="0"/>
        <color indexed="48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52"/>
      </font>
    </dxf>
    <dxf>
      <font>
        <b/>
        <i/>
        <condense val="0"/>
        <extend val="0"/>
        <color indexed="10"/>
      </font>
    </dxf>
  </dxfs>
  <tableStyles count="0" defaultTableStyle="TableStyleMedium2" defaultPivotStyle="PivotStyleLight16"/>
  <colors>
    <mruColors>
      <color rgb="FF808080"/>
      <color rgb="FF385D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'Goal Interface'!$K$4</c:f>
              <c:strCache>
                <c:ptCount val="1"/>
                <c:pt idx="0">
                  <c:v>Goal Profile</c:v>
                </c:pt>
              </c:strCache>
            </c:strRef>
          </c:tx>
          <c:spPr>
            <a:gradFill>
              <a:gsLst>
                <a:gs pos="0">
                  <a:schemeClr val="accent3">
                    <a:lumMod val="75000"/>
                  </a:schemeClr>
                </a:gs>
                <a:gs pos="100000">
                  <a:schemeClr val="accent3">
                    <a:lumMod val="50000"/>
                  </a:schemeClr>
                </a:gs>
              </a:gsLst>
              <a:lin ang="0" scaled="1"/>
            </a:gra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'Goal Interface'!$K$5:$K$10</c:f>
              <c:numCache>
                <c:formatCode>0.00</c:formatCode>
                <c:ptCount val="6"/>
                <c:pt idx="0">
                  <c:v>0.30937850082555501</c:v>
                </c:pt>
                <c:pt idx="1">
                  <c:v>0.53527224156359554</c:v>
                </c:pt>
                <c:pt idx="2">
                  <c:v>0.26763612078179777</c:v>
                </c:pt>
                <c:pt idx="3">
                  <c:v>0.36564097949418761</c:v>
                </c:pt>
                <c:pt idx="4">
                  <c:v>0.31625801046588459</c:v>
                </c:pt>
                <c:pt idx="5">
                  <c:v>0.5589517174336065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4-4312-93A0-46B30ED89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939742016"/>
        <c:axId val="939739296"/>
      </c:barChart>
      <c:catAx>
        <c:axId val="939742016"/>
        <c:scaling>
          <c:orientation val="maxMin"/>
        </c:scaling>
        <c:delete val="1"/>
        <c:axPos val="l"/>
        <c:majorTickMark val="out"/>
        <c:minorTickMark val="none"/>
        <c:tickLblPos val="nextTo"/>
        <c:crossAx val="939739296"/>
        <c:crossesAt val="0"/>
        <c:auto val="0"/>
        <c:lblAlgn val="ctr"/>
        <c:lblOffset val="100"/>
        <c:noMultiLvlLbl val="0"/>
      </c:catAx>
      <c:valAx>
        <c:axId val="939739296"/>
        <c:scaling>
          <c:orientation val="minMax"/>
          <c:min val="0"/>
        </c:scaling>
        <c:delete val="1"/>
        <c:axPos val="t"/>
        <c:numFmt formatCode="0.00" sourceLinked="1"/>
        <c:majorTickMark val="out"/>
        <c:minorTickMark val="none"/>
        <c:tickLblPos val="nextTo"/>
        <c:crossAx val="939742016"/>
        <c:crosses val="autoZero"/>
        <c:crossBetween val="between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100000">
              <a:schemeClr val="accent3">
                <a:lumMod val="40000"/>
                <a:lumOff val="60000"/>
              </a:schemeClr>
            </a:gs>
          </a:gsLst>
          <a:lin ang="0" scaled="1"/>
        </a:gradFill>
        <a:ln w="12700">
          <a:noFill/>
          <a:prstDash val="solid"/>
          <a:round/>
        </a:ln>
        <a:effectLst/>
        <a:extLst>
          <a:ext uri="{91240B29-F687-4F45-9708-019B960494DF}">
            <a14:hiddenLine xmlns:a14="http://schemas.microsoft.com/office/drawing/2010/main" w="12700">
              <a:solidFill>
                <a:srgbClr val="808080"/>
              </a:solidFill>
              <a:prstDash val="solid"/>
              <a:round/>
            </a14:hiddenLine>
          </a:ext>
        </a:extLst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'Size Interface'!$M$4</c:f>
              <c:strCache>
                <c:ptCount val="1"/>
                <c:pt idx="0">
                  <c:v>Priority</c:v>
                </c:pt>
              </c:strCache>
            </c:strRef>
          </c:tx>
          <c:spPr>
            <a:gradFill flip="none" rotWithShape="1">
              <a:gsLst>
                <a:gs pos="0">
                  <a:srgbClr val="4F81BD">
                    <a:lumMod val="40000"/>
                    <a:lumOff val="60000"/>
                  </a:srgbClr>
                </a:gs>
                <a:gs pos="100000">
                  <a:srgbClr val="4F81BD">
                    <a:lumMod val="75000"/>
                  </a:srgbClr>
                </a:gs>
              </a:gsLst>
              <a:lin ang="0" scaled="1"/>
              <a:tileRect/>
            </a:gra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'Size Interface'!$M$5:$M$12</c:f>
              <c:numCache>
                <c:formatCode>0.00</c:formatCode>
                <c:ptCount val="8"/>
                <c:pt idx="0">
                  <c:v>0.40133890900532454</c:v>
                </c:pt>
                <c:pt idx="1">
                  <c:v>0.41386353829043449</c:v>
                </c:pt>
                <c:pt idx="2">
                  <c:v>0.44751241578560169</c:v>
                </c:pt>
                <c:pt idx="3">
                  <c:v>0.2878498872884635</c:v>
                </c:pt>
                <c:pt idx="4">
                  <c:v>0.23782029916396508</c:v>
                </c:pt>
                <c:pt idx="5">
                  <c:v>0.32236927610373006</c:v>
                </c:pt>
                <c:pt idx="6">
                  <c:v>0.40053228933437235</c:v>
                </c:pt>
                <c:pt idx="7">
                  <c:v>0.25221532909079375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A4-4B41-B5BE-62402A909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39733312"/>
        <c:axId val="939739840"/>
      </c:barChart>
      <c:catAx>
        <c:axId val="939733312"/>
        <c:scaling>
          <c:orientation val="maxMin"/>
        </c:scaling>
        <c:delete val="1"/>
        <c:axPos val="l"/>
        <c:majorTickMark val="out"/>
        <c:minorTickMark val="none"/>
        <c:tickLblPos val="nextTo"/>
        <c:crossAx val="939739840"/>
        <c:crossesAt val="0"/>
        <c:auto val="1"/>
        <c:lblAlgn val="ctr"/>
        <c:lblOffset val="100"/>
        <c:noMultiLvlLbl val="0"/>
      </c:catAx>
      <c:valAx>
        <c:axId val="939739840"/>
        <c:scaling>
          <c:orientation val="minMax"/>
          <c:min val="0"/>
        </c:scaling>
        <c:delete val="1"/>
        <c:axPos val="t"/>
        <c:numFmt formatCode="0.00" sourceLinked="1"/>
        <c:majorTickMark val="out"/>
        <c:minorTickMark val="none"/>
        <c:tickLblPos val="nextTo"/>
        <c:crossAx val="939733312"/>
        <c:crosses val="autoZero"/>
        <c:crossBetween val="between"/>
      </c:valAx>
      <c:spPr>
        <a:gradFill>
          <a:gsLst>
            <a:gs pos="0">
              <a:sysClr val="window" lastClr="FFFFFF"/>
            </a:gs>
            <a:gs pos="100000">
              <a:srgbClr val="4F81BD">
                <a:lumMod val="20000"/>
                <a:lumOff val="80000"/>
              </a:srgbClr>
            </a:gs>
          </a:gsLst>
          <a:lin ang="0" scaled="1"/>
        </a:gradFill>
        <a:ln w="3175">
          <a:noFill/>
          <a:prstDash val="solid"/>
          <a:round/>
        </a:ln>
        <a:effectLst/>
        <a:extLst>
          <a:ext uri="{91240B29-F687-4F45-9708-019B960494DF}">
            <a14:hiddenLine xmlns:a14="http://schemas.microsoft.com/office/drawing/2010/main" w="3175">
              <a:solidFill>
                <a:srgbClr val="969696"/>
              </a:solidFill>
              <a:prstDash val="solid"/>
              <a:round/>
            </a14:hiddenLine>
          </a:ext>
        </a:extLst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de-D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'Size Interface BW'!$M$4</c:f>
              <c:strCache>
                <c:ptCount val="1"/>
                <c:pt idx="0">
                  <c:v>Priority</c:v>
                </c:pt>
              </c:strCache>
            </c:strRef>
          </c:tx>
          <c:spPr>
            <a:pattFill prst="divot">
              <a:fgClr>
                <a:sysClr val="windowText" lastClr="000000"/>
              </a:fgClr>
              <a:bgClr>
                <a:sysClr val="window" lastClr="FFFFFF"/>
              </a:bgClr>
            </a:pattFill>
            <a:ln w="6350">
              <a:solidFill>
                <a:sysClr val="windowText" lastClr="000000">
                  <a:lumMod val="75000"/>
                  <a:lumOff val="25000"/>
                </a:sysClr>
              </a:solidFill>
            </a:ln>
            <a:effectLst/>
          </c:spPr>
          <c:invertIfNegative val="0"/>
          <c:val>
            <c:numRef>
              <c:f>'Size Interface BW'!$M$5:$M$12</c:f>
              <c:numCache>
                <c:formatCode>0.00</c:formatCode>
                <c:ptCount val="8"/>
                <c:pt idx="0">
                  <c:v>0.40133890900532454</c:v>
                </c:pt>
                <c:pt idx="1">
                  <c:v>0.41386353829043449</c:v>
                </c:pt>
                <c:pt idx="2">
                  <c:v>0.44751241578560169</c:v>
                </c:pt>
                <c:pt idx="3">
                  <c:v>0.2878498872884635</c:v>
                </c:pt>
                <c:pt idx="4">
                  <c:v>0.23782029916396508</c:v>
                </c:pt>
                <c:pt idx="5">
                  <c:v>0.32236927610373006</c:v>
                </c:pt>
                <c:pt idx="6">
                  <c:v>0.40053228933437235</c:v>
                </c:pt>
                <c:pt idx="7">
                  <c:v>0.25221532909079375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0D-4C4E-B571-05A95248C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59818688"/>
        <c:axId val="1159819232"/>
      </c:barChart>
      <c:catAx>
        <c:axId val="1159818688"/>
        <c:scaling>
          <c:orientation val="maxMin"/>
        </c:scaling>
        <c:delete val="1"/>
        <c:axPos val="l"/>
        <c:majorTickMark val="out"/>
        <c:minorTickMark val="none"/>
        <c:tickLblPos val="nextTo"/>
        <c:crossAx val="1159819232"/>
        <c:crossesAt val="0"/>
        <c:auto val="1"/>
        <c:lblAlgn val="ctr"/>
        <c:lblOffset val="100"/>
        <c:noMultiLvlLbl val="0"/>
      </c:catAx>
      <c:valAx>
        <c:axId val="1159819232"/>
        <c:scaling>
          <c:orientation val="minMax"/>
          <c:min val="0"/>
        </c:scaling>
        <c:delete val="1"/>
        <c:axPos val="t"/>
        <c:numFmt formatCode="0.00" sourceLinked="1"/>
        <c:majorTickMark val="out"/>
        <c:minorTickMark val="none"/>
        <c:tickLblPos val="nextTo"/>
        <c:crossAx val="1159818688"/>
        <c:crosses val="autoZero"/>
        <c:crossBetween val="between"/>
      </c:valAx>
      <c:spPr>
        <a:solidFill>
          <a:sysClr val="window" lastClr="FFFFFF"/>
        </a:solidFill>
        <a:ln w="3175">
          <a:noFill/>
          <a:prstDash val="solid"/>
          <a:round/>
        </a:ln>
        <a:effectLst/>
        <a:extLst>
          <a:ext uri="{91240B29-F687-4F45-9708-019B960494DF}">
            <a14:hiddenLine xmlns:a14="http://schemas.microsoft.com/office/drawing/2010/main" w="3175">
              <a:solidFill>
                <a:srgbClr val="969696"/>
              </a:solidFill>
              <a:prstDash val="solid"/>
              <a:round/>
            </a14:hiddenLine>
          </a:ext>
        </a:extLst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de-DE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'FURs Measured'!$M$4</c:f>
              <c:strCache>
                <c:ptCount val="1"/>
                <c:pt idx="0">
                  <c:v>Priority</c:v>
                </c:pt>
              </c:strCache>
            </c:strRef>
          </c:tx>
          <c:spPr>
            <a:gradFill flip="none" rotWithShape="1">
              <a:gsLst>
                <a:gs pos="0">
                  <a:srgbClr val="4F81BD">
                    <a:lumMod val="40000"/>
                    <a:lumOff val="60000"/>
                  </a:srgbClr>
                </a:gs>
                <a:gs pos="100000">
                  <a:srgbClr val="4F81BD">
                    <a:lumMod val="75000"/>
                  </a:srgbClr>
                </a:gs>
              </a:gsLst>
              <a:lin ang="0" scaled="1"/>
              <a:tileRect/>
            </a:gra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'FURs Measured'!$M$5:$M$12</c:f>
              <c:numCache>
                <c:formatCode>0.00</c:formatCode>
                <c:ptCount val="8"/>
                <c:pt idx="0">
                  <c:v>0.40133890900532454</c:v>
                </c:pt>
                <c:pt idx="1">
                  <c:v>0.41386353829043449</c:v>
                </c:pt>
                <c:pt idx="2">
                  <c:v>0.44751241578560169</c:v>
                </c:pt>
                <c:pt idx="3">
                  <c:v>0.2878498872884635</c:v>
                </c:pt>
                <c:pt idx="4">
                  <c:v>0.23782029916396508</c:v>
                </c:pt>
                <c:pt idx="5">
                  <c:v>0.32236927610373006</c:v>
                </c:pt>
                <c:pt idx="6">
                  <c:v>0.40053228933437235</c:v>
                </c:pt>
                <c:pt idx="7">
                  <c:v>0.25221532909079375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5A-429A-ACDF-59DB11BA5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59809440"/>
        <c:axId val="1159815424"/>
      </c:barChart>
      <c:catAx>
        <c:axId val="1159809440"/>
        <c:scaling>
          <c:orientation val="maxMin"/>
        </c:scaling>
        <c:delete val="1"/>
        <c:axPos val="l"/>
        <c:majorTickMark val="out"/>
        <c:minorTickMark val="none"/>
        <c:tickLblPos val="nextTo"/>
        <c:crossAx val="1159815424"/>
        <c:crossesAt val="0"/>
        <c:auto val="1"/>
        <c:lblAlgn val="ctr"/>
        <c:lblOffset val="100"/>
        <c:noMultiLvlLbl val="0"/>
      </c:catAx>
      <c:valAx>
        <c:axId val="1159815424"/>
        <c:scaling>
          <c:orientation val="minMax"/>
          <c:min val="0"/>
        </c:scaling>
        <c:delete val="1"/>
        <c:axPos val="t"/>
        <c:numFmt formatCode="0.00" sourceLinked="1"/>
        <c:majorTickMark val="out"/>
        <c:minorTickMark val="none"/>
        <c:tickLblPos val="nextTo"/>
        <c:crossAx val="1159809440"/>
        <c:crosses val="autoZero"/>
        <c:crossBetween val="between"/>
      </c:valAx>
      <c:spPr>
        <a:gradFill flip="none" rotWithShape="1">
          <a:gsLst>
            <a:gs pos="0">
              <a:sysClr val="window" lastClr="FFFFFF"/>
            </a:gs>
            <a:gs pos="100000">
              <a:srgbClr val="4F81BD">
                <a:lumMod val="20000"/>
                <a:lumOff val="80000"/>
              </a:srgbClr>
            </a:gs>
          </a:gsLst>
          <a:lin ang="0" scaled="1"/>
          <a:tileRect/>
        </a:gradFill>
        <a:ln w="3175">
          <a:noFill/>
          <a:prstDash val="solid"/>
          <a:round/>
        </a:ln>
        <a:effectLst/>
        <a:extLst>
          <a:ext uri="{91240B29-F687-4F45-9708-019B960494DF}">
            <a14:hiddenLine xmlns:a14="http://schemas.microsoft.com/office/drawing/2010/main" w="3175">
              <a:solidFill>
                <a:srgbClr val="969696"/>
              </a:solidFill>
              <a:prstDash val="solid"/>
              <a:round/>
            </a14:hiddenLine>
          </a:ext>
        </a:extLst>
      </c:spPr>
    </c:plotArea>
    <c:plotVisOnly val="1"/>
    <c:dispBlanksAs val="gap"/>
    <c:showDLblsOverMax val="0"/>
  </c:chart>
  <c:spPr>
    <a:gradFill>
      <a:gsLst>
        <a:gs pos="0">
          <a:sysClr val="window" lastClr="FFFFFF"/>
        </a:gs>
        <a:gs pos="100000">
          <a:srgbClr val="4F81BD">
            <a:lumMod val="20000"/>
            <a:lumOff val="80000"/>
          </a:srgbClr>
        </a:gs>
      </a:gsLst>
      <a:lin ang="5400000" scaled="0"/>
    </a:gradFill>
    <a:ln w="9525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de-DE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'FUR Combinator'!$D$12</c:f>
              <c:strCache>
                <c:ptCount val="1"/>
                <c:pt idx="0">
                  <c:v>Solution Profile for User Stories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40000"/>
                    <a:lumOff val="60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</a:gra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'FUR Combinator'!$E$12:$L$12</c:f>
              <c:numCache>
                <c:formatCode>0.00</c:formatCode>
                <c:ptCount val="8"/>
                <c:pt idx="0">
                  <c:v>0.40133890900532454</c:v>
                </c:pt>
                <c:pt idx="1">
                  <c:v>0.41386353829043449</c:v>
                </c:pt>
                <c:pt idx="2">
                  <c:v>0.44751241578560169</c:v>
                </c:pt>
                <c:pt idx="3">
                  <c:v>0.2878498872884635</c:v>
                </c:pt>
                <c:pt idx="4">
                  <c:v>0.23782029916396508</c:v>
                </c:pt>
                <c:pt idx="5">
                  <c:v>0.32236927610373006</c:v>
                </c:pt>
                <c:pt idx="6">
                  <c:v>0.40053228933437235</c:v>
                </c:pt>
                <c:pt idx="7">
                  <c:v>0.25221532909079375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05-44BE-8969-9D13D49C3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59810528"/>
        <c:axId val="1159812160"/>
      </c:barChart>
      <c:catAx>
        <c:axId val="1159810528"/>
        <c:scaling>
          <c:orientation val="minMax"/>
        </c:scaling>
        <c:delete val="1"/>
        <c:axPos val="b"/>
        <c:majorTickMark val="out"/>
        <c:minorTickMark val="none"/>
        <c:tickLblPos val="nextTo"/>
        <c:crossAx val="1159812160"/>
        <c:crossesAt val="0"/>
        <c:auto val="0"/>
        <c:lblAlgn val="ctr"/>
        <c:lblOffset val="100"/>
        <c:noMultiLvlLbl val="0"/>
      </c:catAx>
      <c:valAx>
        <c:axId val="1159812160"/>
        <c:scaling>
          <c:orientation val="minMax"/>
          <c:min val="0"/>
        </c:scaling>
        <c:delete val="1"/>
        <c:axPos val="l"/>
        <c:numFmt formatCode="0.00" sourceLinked="1"/>
        <c:majorTickMark val="out"/>
        <c:minorTickMark val="none"/>
        <c:tickLblPos val="nextTo"/>
        <c:crossAx val="1159810528"/>
        <c:crosses val="autoZero"/>
        <c:crossBetween val="between"/>
      </c:valAx>
      <c:spPr>
        <a:gradFill rotWithShape="0">
          <a:gsLst>
            <a:gs pos="0">
              <a:schemeClr val="accent3">
                <a:lumMod val="20000"/>
                <a:lumOff val="80000"/>
              </a:scheme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5400000" scaled="1"/>
        </a:gradFill>
        <a:ln w="12700">
          <a:noFill/>
          <a:prstDash val="solid"/>
          <a:round/>
        </a:ln>
        <a:effectLst/>
        <a:extLst>
          <a:ext uri="{91240B29-F687-4F45-9708-019B960494DF}">
            <a14:hiddenLine xmlns:a14="http://schemas.microsoft.com/office/drawing/2010/main" w="12700">
              <a:solidFill>
                <a:srgbClr val="808080"/>
              </a:solidFill>
              <a:prstDash val="solid"/>
              <a:round/>
            </a14:hiddenLine>
          </a:ext>
        </a:extLst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'FUR Combinator'!$D$3</c:f>
              <c:strCache>
                <c:ptCount val="1"/>
                <c:pt idx="0">
                  <c:v>Goal Profile</c:v>
                </c:pt>
              </c:strCache>
            </c:strRef>
          </c:tx>
          <c:spPr>
            <a:gradFill>
              <a:gsLst>
                <a:gs pos="0">
                  <a:schemeClr val="accent3">
                    <a:lumMod val="75000"/>
                  </a:schemeClr>
                </a:gs>
                <a:gs pos="100000">
                  <a:schemeClr val="accent3">
                    <a:lumMod val="50000"/>
                  </a:schemeClr>
                </a:gs>
              </a:gsLst>
              <a:lin ang="0" scaled="1"/>
            </a:gra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'FUR Combinator'!$D$5:$D$10</c:f>
              <c:numCache>
                <c:formatCode>0.00</c:formatCode>
                <c:ptCount val="6"/>
                <c:pt idx="0">
                  <c:v>0.30937850082555501</c:v>
                </c:pt>
                <c:pt idx="1">
                  <c:v>0.53527224156359554</c:v>
                </c:pt>
                <c:pt idx="2">
                  <c:v>0.26763612078179777</c:v>
                </c:pt>
                <c:pt idx="3">
                  <c:v>0.36564097949418761</c:v>
                </c:pt>
                <c:pt idx="4">
                  <c:v>0.31625801046588459</c:v>
                </c:pt>
                <c:pt idx="5">
                  <c:v>0.5589517174336065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63-43BF-9168-3C489AD28AB6}"/>
            </c:ext>
          </c:extLst>
        </c:ser>
        <c:ser>
          <c:idx val="2"/>
          <c:order val="1"/>
          <c:tx>
            <c:strRef>
              <c:f>'FUR Combinator'!$N$3</c:f>
              <c:strCache>
                <c:ptCount val="1"/>
                <c:pt idx="0">
                  <c:v>Achieved Profile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40000"/>
                    <a:lumOff val="60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0" scaled="1"/>
              <a:tileRect/>
            </a:gra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'FUR Combinator'!$N$5:$N$10</c:f>
              <c:numCache>
                <c:formatCode>0.00</c:formatCode>
                <c:ptCount val="6"/>
                <c:pt idx="0">
                  <c:v>0.30366996571643146</c:v>
                </c:pt>
                <c:pt idx="1">
                  <c:v>0.56356135820307651</c:v>
                </c:pt>
                <c:pt idx="2">
                  <c:v>0.29213791712214709</c:v>
                </c:pt>
                <c:pt idx="3">
                  <c:v>0.33199390534877693</c:v>
                </c:pt>
                <c:pt idx="4">
                  <c:v>0.30181319995247241</c:v>
                </c:pt>
                <c:pt idx="5">
                  <c:v>0.55093323006271344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63-43BF-9168-3C489AD28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159813792"/>
        <c:axId val="1159806720"/>
      </c:barChart>
      <c:catAx>
        <c:axId val="1159813792"/>
        <c:scaling>
          <c:orientation val="maxMin"/>
        </c:scaling>
        <c:delete val="1"/>
        <c:axPos val="l"/>
        <c:majorTickMark val="out"/>
        <c:minorTickMark val="none"/>
        <c:tickLblPos val="nextTo"/>
        <c:crossAx val="1159806720"/>
        <c:crossesAt val="0"/>
        <c:auto val="0"/>
        <c:lblAlgn val="ctr"/>
        <c:lblOffset val="100"/>
        <c:noMultiLvlLbl val="0"/>
      </c:catAx>
      <c:valAx>
        <c:axId val="1159806720"/>
        <c:scaling>
          <c:orientation val="minMax"/>
          <c:min val="0"/>
        </c:scaling>
        <c:delete val="1"/>
        <c:axPos val="t"/>
        <c:numFmt formatCode="0.00" sourceLinked="1"/>
        <c:majorTickMark val="out"/>
        <c:minorTickMark val="none"/>
        <c:tickLblPos val="nextTo"/>
        <c:crossAx val="1159813792"/>
        <c:crosses val="autoZero"/>
        <c:crossBetween val="between"/>
      </c:valAx>
      <c:spPr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100000">
              <a:schemeClr val="accent1">
                <a:lumMod val="20000"/>
                <a:lumOff val="80000"/>
              </a:schemeClr>
            </a:gs>
          </a:gsLst>
          <a:lin ang="0" scaled="1"/>
          <a:tileRect/>
        </a:gradFill>
        <a:ln w="12700">
          <a:noFill/>
          <a:prstDash val="solid"/>
          <a:round/>
        </a:ln>
        <a:effectLst/>
        <a:extLst>
          <a:ext uri="{91240B29-F687-4F45-9708-019B960494DF}">
            <a14:hiddenLine xmlns:a14="http://schemas.microsoft.com/office/drawing/2010/main" w="12700">
              <a:solidFill>
                <a:srgbClr val="808080"/>
              </a:solidFill>
              <a:prstDash val="solid"/>
              <a:round/>
            </a14:hiddenLine>
          </a:ext>
        </a:extLst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2.1197804819852065E-2"/>
          <c:w val="1"/>
          <c:h val="0.9788023048843033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'FUR Combinator sorted'!$D$12</c:f>
              <c:strCache>
                <c:ptCount val="1"/>
                <c:pt idx="0">
                  <c:v>Solution Profile for User Stories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40000"/>
                    <a:lumOff val="60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'FUR Combinator sorted'!$E$12:$L$12</c:f>
              <c:numCache>
                <c:formatCode>0.00</c:formatCode>
                <c:ptCount val="8"/>
                <c:pt idx="0">
                  <c:v>0.40133890900532454</c:v>
                </c:pt>
                <c:pt idx="1">
                  <c:v>0.41386353829043449</c:v>
                </c:pt>
                <c:pt idx="2">
                  <c:v>0.44751241578560169</c:v>
                </c:pt>
                <c:pt idx="3">
                  <c:v>0.2878498872884635</c:v>
                </c:pt>
                <c:pt idx="4">
                  <c:v>0.23782029916396508</c:v>
                </c:pt>
                <c:pt idx="5">
                  <c:v>0.32236927610373006</c:v>
                </c:pt>
                <c:pt idx="6">
                  <c:v>0.40053228933437235</c:v>
                </c:pt>
                <c:pt idx="7">
                  <c:v>0.25221532909079375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4-4CEF-83DE-7E229A909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59808352"/>
        <c:axId val="1159815968"/>
      </c:barChart>
      <c:catAx>
        <c:axId val="1159808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159815968"/>
        <c:crossesAt val="0"/>
        <c:auto val="0"/>
        <c:lblAlgn val="ctr"/>
        <c:lblOffset val="100"/>
        <c:noMultiLvlLbl val="0"/>
      </c:catAx>
      <c:valAx>
        <c:axId val="1159815968"/>
        <c:scaling>
          <c:orientation val="minMax"/>
          <c:min val="0"/>
        </c:scaling>
        <c:delete val="1"/>
        <c:axPos val="l"/>
        <c:numFmt formatCode="0.00" sourceLinked="1"/>
        <c:majorTickMark val="out"/>
        <c:minorTickMark val="none"/>
        <c:tickLblPos val="nextTo"/>
        <c:crossAx val="1159808352"/>
        <c:crosses val="autoZero"/>
        <c:crossBetween val="between"/>
      </c:valAx>
      <c:spPr>
        <a:gradFill rotWithShape="0">
          <a:gsLst>
            <a:gs pos="0">
              <a:schemeClr val="accent3">
                <a:lumMod val="20000"/>
                <a:lumOff val="80000"/>
              </a:schemeClr>
            </a:gs>
            <a:gs pos="100000">
              <a:schemeClr val="accent1">
                <a:lumMod val="20000"/>
                <a:lumOff val="80000"/>
              </a:schemeClr>
            </a:gs>
          </a:gsLst>
          <a:lin ang="5400000" scaled="1"/>
        </a:gradFill>
        <a:ln w="12700">
          <a:noFill/>
          <a:prstDash val="solid"/>
          <a:round/>
        </a:ln>
        <a:effectLst/>
        <a:extLst>
          <a:ext uri="{91240B29-F687-4F45-9708-019B960494DF}">
            <a14:hiddenLine xmlns:a14="http://schemas.microsoft.com/office/drawing/2010/main" w="12700">
              <a:solidFill>
                <a:srgbClr val="808080"/>
              </a:solidFill>
              <a:prstDash val="solid"/>
              <a:round/>
            </a14:hiddenLine>
          </a:ext>
        </a:extLst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'FUR Combinator sorted'!$D$3</c:f>
              <c:strCache>
                <c:ptCount val="1"/>
                <c:pt idx="0">
                  <c:v>Goal Profile</c:v>
                </c:pt>
              </c:strCache>
            </c:strRef>
          </c:tx>
          <c:spPr>
            <a:gradFill>
              <a:gsLst>
                <a:gs pos="0">
                  <a:schemeClr val="accent3">
                    <a:lumMod val="75000"/>
                  </a:schemeClr>
                </a:gs>
                <a:gs pos="100000">
                  <a:schemeClr val="accent3">
                    <a:lumMod val="50000"/>
                  </a:schemeClr>
                </a:gs>
              </a:gsLst>
              <a:lin ang="0" scaled="1"/>
            </a:gra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'FUR Combinator sorted'!$D$5:$D$10</c:f>
              <c:numCache>
                <c:formatCode>0.00</c:formatCode>
                <c:ptCount val="6"/>
                <c:pt idx="0">
                  <c:v>0.5589517174336065</c:v>
                </c:pt>
                <c:pt idx="1">
                  <c:v>0.53527224156359554</c:v>
                </c:pt>
                <c:pt idx="2">
                  <c:v>0.36564097949418761</c:v>
                </c:pt>
                <c:pt idx="3">
                  <c:v>0.31625801046588459</c:v>
                </c:pt>
                <c:pt idx="4">
                  <c:v>0.30937850082555501</c:v>
                </c:pt>
                <c:pt idx="5">
                  <c:v>0.26763612078179777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AB-4F44-9524-C61D8EAE8294}"/>
            </c:ext>
          </c:extLst>
        </c:ser>
        <c:ser>
          <c:idx val="1"/>
          <c:order val="1"/>
          <c:tx>
            <c:strRef>
              <c:f>'FUR Combinator sorted'!$N$3</c:f>
              <c:strCache>
                <c:ptCount val="1"/>
                <c:pt idx="0">
                  <c:v>Achieved Profile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40000"/>
                    <a:lumOff val="60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0" scaled="1"/>
            </a:gra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'FUR Combinator sorted'!$N$5:$N$10</c:f>
              <c:numCache>
                <c:formatCode>0.00</c:formatCode>
                <c:ptCount val="6"/>
                <c:pt idx="0">
                  <c:v>0.55093323006271344</c:v>
                </c:pt>
                <c:pt idx="1">
                  <c:v>0.56356135820307651</c:v>
                </c:pt>
                <c:pt idx="2">
                  <c:v>0.33199390534877693</c:v>
                </c:pt>
                <c:pt idx="3">
                  <c:v>0.30181319995247241</c:v>
                </c:pt>
                <c:pt idx="4">
                  <c:v>0.30366996571643146</c:v>
                </c:pt>
                <c:pt idx="5">
                  <c:v>0.29213791712214709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B-4F44-9524-C61D8EAE8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159813248"/>
        <c:axId val="1159808896"/>
      </c:barChart>
      <c:catAx>
        <c:axId val="1159813248"/>
        <c:scaling>
          <c:orientation val="maxMin"/>
        </c:scaling>
        <c:delete val="1"/>
        <c:axPos val="l"/>
        <c:majorTickMark val="out"/>
        <c:minorTickMark val="none"/>
        <c:tickLblPos val="nextTo"/>
        <c:crossAx val="1159808896"/>
        <c:crossesAt val="0"/>
        <c:auto val="0"/>
        <c:lblAlgn val="ctr"/>
        <c:lblOffset val="100"/>
        <c:noMultiLvlLbl val="0"/>
      </c:catAx>
      <c:valAx>
        <c:axId val="1159808896"/>
        <c:scaling>
          <c:orientation val="minMax"/>
          <c:min val="0"/>
        </c:scaling>
        <c:delete val="1"/>
        <c:axPos val="t"/>
        <c:numFmt formatCode="0.00" sourceLinked="1"/>
        <c:majorTickMark val="out"/>
        <c:minorTickMark val="none"/>
        <c:tickLblPos val="nextTo"/>
        <c:crossAx val="1159813248"/>
        <c:crosses val="autoZero"/>
        <c:crossBetween val="between"/>
      </c:valAx>
      <c:spPr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100000">
              <a:schemeClr val="accent1">
                <a:lumMod val="20000"/>
                <a:lumOff val="80000"/>
              </a:schemeClr>
            </a:gs>
          </a:gsLst>
          <a:lin ang="0" scaled="1"/>
          <a:tileRect/>
        </a:gradFill>
        <a:ln w="12700">
          <a:noFill/>
          <a:prstDash val="solid"/>
          <a:round/>
        </a:ln>
        <a:effectLst/>
        <a:extLst>
          <a:ext uri="{91240B29-F687-4F45-9708-019B960494DF}">
            <a14:hiddenLine xmlns:a14="http://schemas.microsoft.com/office/drawing/2010/main" w="12700">
              <a:solidFill>
                <a:srgbClr val="808080"/>
              </a:solidFill>
              <a:prstDash val="solid"/>
              <a:round/>
            </a14:hiddenLine>
          </a:ext>
        </a:extLst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1.9050894500256432E-2"/>
          <c:w val="1"/>
          <c:h val="0.9809496540205201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'FUR Combinator BW'!$D$12</c:f>
              <c:strCache>
                <c:ptCount val="1"/>
                <c:pt idx="0">
                  <c:v>Solution Profile for User Stories</c:v>
                </c:pt>
              </c:strCache>
            </c:strRef>
          </c:tx>
          <c:spPr>
            <a:pattFill prst="pct5">
              <a:fgClr>
                <a:srgbClr xmlns:mc="http://schemas.openxmlformats.org/markup-compatibility/2006" xmlns:a14="http://schemas.microsoft.com/office/drawing/2010/main" val="000000" mc:Ignorable="a14" a14:legacySpreadsheetColorIndex="8"/>
              </a:fgClr>
              <a:bgClr>
                <a:srgbClr xmlns:mc="http://schemas.openxmlformats.org/markup-compatibility/2006" xmlns:a14="http://schemas.microsoft.com/office/drawing/2010/main" val="FFFFFF" mc:Ignorable="a14" a14:legacySpreadsheetColorIndex="9"/>
              </a:bgClr>
            </a:pattFill>
            <a:ln w="3175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'FUR Combinator BW'!$E$12:$L$12</c:f>
              <c:numCache>
                <c:formatCode>0.00</c:formatCode>
                <c:ptCount val="8"/>
                <c:pt idx="0">
                  <c:v>0.40133890900532454</c:v>
                </c:pt>
                <c:pt idx="1">
                  <c:v>0.41386353829043449</c:v>
                </c:pt>
                <c:pt idx="2">
                  <c:v>0.44751241578560169</c:v>
                </c:pt>
                <c:pt idx="3">
                  <c:v>0.2878498872884635</c:v>
                </c:pt>
                <c:pt idx="4">
                  <c:v>0.23782029916396508</c:v>
                </c:pt>
                <c:pt idx="5">
                  <c:v>0.32236927610373006</c:v>
                </c:pt>
                <c:pt idx="6">
                  <c:v>0.40053228933437235</c:v>
                </c:pt>
                <c:pt idx="7">
                  <c:v>0.25221532909079375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8-4B22-8F42-AE61B4B986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159817056"/>
        <c:axId val="1159818144"/>
      </c:barChart>
      <c:catAx>
        <c:axId val="1159817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159818144"/>
        <c:crossesAt val="0"/>
        <c:auto val="0"/>
        <c:lblAlgn val="ctr"/>
        <c:lblOffset val="100"/>
        <c:noMultiLvlLbl val="0"/>
      </c:catAx>
      <c:valAx>
        <c:axId val="1159818144"/>
        <c:scaling>
          <c:orientation val="minMax"/>
          <c:min val="0"/>
        </c:scaling>
        <c:delete val="1"/>
        <c:axPos val="l"/>
        <c:numFmt formatCode="0.00" sourceLinked="1"/>
        <c:majorTickMark val="out"/>
        <c:minorTickMark val="none"/>
        <c:tickLblPos val="nextTo"/>
        <c:crossAx val="1159817056"/>
        <c:crosses val="autoZero"/>
        <c:crossBetween val="between"/>
      </c:valAx>
      <c:spPr>
        <a:solidFill>
          <a:srgbClr val="FFFFFF"/>
        </a:solidFill>
        <a:ln w="12700">
          <a:noFill/>
          <a:prstDash val="solid"/>
          <a:round/>
        </a:ln>
        <a:effectLst/>
        <a:extLst>
          <a:ext uri="{91240B29-F687-4F45-9708-019B960494DF}">
            <a14:hiddenLine xmlns:a14="http://schemas.microsoft.com/office/drawing/2010/main" w="12700">
              <a:solidFill>
                <a:srgbClr val="808080"/>
              </a:solidFill>
              <a:prstDash val="solid"/>
              <a:round/>
            </a14:hiddenLine>
          </a:ext>
        </a:extLst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'FUR Combinator BW'!$D$3</c:f>
              <c:strCache>
                <c:ptCount val="1"/>
                <c:pt idx="0">
                  <c:v>Goal Profile</c:v>
                </c:pt>
              </c:strCache>
            </c:strRef>
          </c:tx>
          <c:spPr>
            <a:pattFill prst="pct90">
              <a:fgClr>
                <a:srgbClr xmlns:mc="http://schemas.openxmlformats.org/markup-compatibility/2006" xmlns:a14="http://schemas.microsoft.com/office/drawing/2010/main" val="000000" mc:Ignorable="a14" a14:legacySpreadsheetColorIndex="8"/>
              </a:fgClr>
              <a:bgClr>
                <a:srgbClr xmlns:mc="http://schemas.openxmlformats.org/markup-compatibility/2006" xmlns:a14="http://schemas.microsoft.com/office/drawing/2010/main" val="FFFFFF" mc:Ignorable="a14" a14:legacySpreadsheetColorIndex="9"/>
              </a:bgClr>
            </a:pattFill>
            <a:ln w="3175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'FUR Combinator BW'!$D$5:$D$10</c:f>
              <c:numCache>
                <c:formatCode>0.00</c:formatCode>
                <c:ptCount val="6"/>
                <c:pt idx="0">
                  <c:v>0.30937850082555501</c:v>
                </c:pt>
                <c:pt idx="1">
                  <c:v>0.53527224156359554</c:v>
                </c:pt>
                <c:pt idx="2">
                  <c:v>0.26763612078179777</c:v>
                </c:pt>
                <c:pt idx="3">
                  <c:v>0.36564097949418761</c:v>
                </c:pt>
                <c:pt idx="4">
                  <c:v>0.31625801046588459</c:v>
                </c:pt>
                <c:pt idx="5">
                  <c:v>0.5589517174336065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8-495F-AED4-458349E42C26}"/>
            </c:ext>
          </c:extLst>
        </c:ser>
        <c:ser>
          <c:idx val="2"/>
          <c:order val="1"/>
          <c:tx>
            <c:strRef>
              <c:f>'FUR Combinator BW'!$N$3</c:f>
              <c:strCache>
                <c:ptCount val="1"/>
                <c:pt idx="0">
                  <c:v>Achieved Profile</c:v>
                </c:pt>
              </c:strCache>
            </c:strRef>
          </c:tx>
          <c:spPr>
            <a:pattFill prst="pct5">
              <a:fgClr>
                <a:srgbClr xmlns:mc="http://schemas.openxmlformats.org/markup-compatibility/2006" xmlns:a14="http://schemas.microsoft.com/office/drawing/2010/main" val="000000" mc:Ignorable="a14" a14:legacySpreadsheetColorIndex="8"/>
              </a:fgClr>
              <a:bgClr>
                <a:srgbClr xmlns:mc="http://schemas.openxmlformats.org/markup-compatibility/2006" xmlns:a14="http://schemas.microsoft.com/office/drawing/2010/main" val="FFFFFF" mc:Ignorable="a14" a14:legacySpreadsheetColorIndex="9"/>
              </a:bgClr>
            </a:pattFill>
            <a:ln w="3175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'FUR Combinator BW'!$N$5:$N$10</c:f>
              <c:numCache>
                <c:formatCode>0.00</c:formatCode>
                <c:ptCount val="6"/>
                <c:pt idx="0">
                  <c:v>0.30366996571643146</c:v>
                </c:pt>
                <c:pt idx="1">
                  <c:v>0.56356135820307651</c:v>
                </c:pt>
                <c:pt idx="2">
                  <c:v>0.29213791712214709</c:v>
                </c:pt>
                <c:pt idx="3">
                  <c:v>0.33199390534877693</c:v>
                </c:pt>
                <c:pt idx="4">
                  <c:v>0.30181319995247241</c:v>
                </c:pt>
                <c:pt idx="5">
                  <c:v>0.55093323006271344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D8-495F-AED4-458349E42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161235120"/>
        <c:axId val="1161233488"/>
      </c:barChart>
      <c:catAx>
        <c:axId val="1161235120"/>
        <c:scaling>
          <c:orientation val="maxMin"/>
        </c:scaling>
        <c:delete val="1"/>
        <c:axPos val="l"/>
        <c:majorTickMark val="out"/>
        <c:minorTickMark val="none"/>
        <c:tickLblPos val="nextTo"/>
        <c:crossAx val="1161233488"/>
        <c:crossesAt val="0"/>
        <c:auto val="0"/>
        <c:lblAlgn val="ctr"/>
        <c:lblOffset val="100"/>
        <c:noMultiLvlLbl val="0"/>
      </c:catAx>
      <c:valAx>
        <c:axId val="1161233488"/>
        <c:scaling>
          <c:orientation val="minMax"/>
          <c:min val="0"/>
        </c:scaling>
        <c:delete val="1"/>
        <c:axPos val="t"/>
        <c:numFmt formatCode="0.00" sourceLinked="1"/>
        <c:majorTickMark val="out"/>
        <c:minorTickMark val="none"/>
        <c:tickLblPos val="nextTo"/>
        <c:crossAx val="1161235120"/>
        <c:crosses val="autoZero"/>
        <c:crossBetween val="between"/>
      </c:valAx>
      <c:spPr>
        <a:solidFill>
          <a:srgbClr val="FFFFFF"/>
        </a:solidFill>
        <a:ln w="12700">
          <a:noFill/>
          <a:prstDash val="solid"/>
          <a:round/>
        </a:ln>
        <a:effectLst/>
        <a:extLst>
          <a:ext uri="{91240B29-F687-4F45-9708-019B960494DF}">
            <a14:hiddenLine xmlns:a14="http://schemas.microsoft.com/office/drawing/2010/main" w="12700">
              <a:solidFill>
                <a:srgbClr val="808080"/>
              </a:solidFill>
              <a:prstDash val="solid"/>
              <a:round/>
            </a14:hiddenLine>
          </a:ext>
        </a:extLst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1057295</xdr:colOff>
      <xdr:row>1</xdr:row>
      <xdr:rowOff>19050</xdr:rowOff>
    </xdr:from>
    <xdr:to>
      <xdr:col>3</xdr:col>
      <xdr:colOff>0</xdr:colOff>
      <xdr:row>1</xdr:row>
      <xdr:rowOff>200025</xdr:rowOff>
    </xdr:to>
    <xdr:pic macro="[0]!Link_Click">
      <xdr:nvPicPr>
        <xdr:cNvPr id="2" name="Lin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6845" y="76200"/>
          <a:ext cx="257155" cy="180975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4</xdr:row>
      <xdr:rowOff>0</xdr:rowOff>
    </xdr:from>
    <xdr:to>
      <xdr:col>12</xdr:col>
      <xdr:colOff>0</xdr:colOff>
      <xdr:row>10</xdr:row>
      <xdr:rowOff>0</xdr:rowOff>
    </xdr:to>
    <xdr:graphicFrame macro="[0]!AdjustResponseGraph_Click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85745</xdr:colOff>
      <xdr:row>1</xdr:row>
      <xdr:rowOff>19050</xdr:rowOff>
    </xdr:from>
    <xdr:to>
      <xdr:col>3</xdr:col>
      <xdr:colOff>0</xdr:colOff>
      <xdr:row>1</xdr:row>
      <xdr:rowOff>200025</xdr:rowOff>
    </xdr:to>
    <xdr:pic macro="[0]!Link_Click">
      <xdr:nvPicPr>
        <xdr:cNvPr id="2" name="Lin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45" y="76200"/>
          <a:ext cx="257155" cy="180975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4</xdr:row>
      <xdr:rowOff>0</xdr:rowOff>
    </xdr:from>
    <xdr:to>
      <xdr:col>16</xdr:col>
      <xdr:colOff>0</xdr:colOff>
      <xdr:row>12</xdr:row>
      <xdr:rowOff>0</xdr:rowOff>
    </xdr:to>
    <xdr:graphicFrame macro="[0]!AdjustResponseGraph_Click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0</xdr:rowOff>
    </xdr:from>
    <xdr:to>
      <xdr:col>16</xdr:col>
      <xdr:colOff>0</xdr:colOff>
      <xdr:row>12</xdr:row>
      <xdr:rowOff>0</xdr:rowOff>
    </xdr:to>
    <xdr:graphicFrame macro="[0]!AdjustResponseGraph_Click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0</xdr:rowOff>
    </xdr:from>
    <xdr:to>
      <xdr:col>16</xdr:col>
      <xdr:colOff>0</xdr:colOff>
      <xdr:row>12</xdr:row>
      <xdr:rowOff>0</xdr:rowOff>
    </xdr:to>
    <xdr:graphicFrame macro="[0]!AdjustResponseGraph_Click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2219325</xdr:colOff>
      <xdr:row>9</xdr:row>
      <xdr:rowOff>171450</xdr:rowOff>
    </xdr:from>
    <xdr:to>
      <xdr:col>9</xdr:col>
      <xdr:colOff>2723248</xdr:colOff>
      <xdr:row>11</xdr:row>
      <xdr:rowOff>48399</xdr:rowOff>
    </xdr:to>
    <xdr:sp macro="" textlink="">
      <xdr:nvSpPr>
        <xdr:cNvPr id="3" name="Rounded Rectangle 2"/>
        <xdr:cNvSpPr/>
      </xdr:nvSpPr>
      <xdr:spPr>
        <a:xfrm>
          <a:off x="12868275" y="2105025"/>
          <a:ext cx="2780398" cy="276999"/>
        </a:xfrm>
        <a:prstGeom prst="roundRect">
          <a:avLst/>
        </a:prstGeom>
        <a:noFill/>
        <a:ln>
          <a:solidFill>
            <a:srgbClr val="C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0" tIns="0" rIns="0" bIns="0" numCol="1" spcCol="0" rtlCol="0" fromWordArt="0" anchor="ctr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effectLst>
              <a:outerShdw blurRad="38100" dist="38100" dir="2700000" algn="tl">
                <a:srgbClr val="000000">
                  <a:alpha val="43137"/>
                </a:srgbClr>
              </a:outerShdw>
            </a:effectLst>
            <a:latin typeface="Arial Narrow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12</xdr:row>
      <xdr:rowOff>0</xdr:rowOff>
    </xdr:from>
    <xdr:to>
      <xdr:col>12</xdr:col>
      <xdr:colOff>0</xdr:colOff>
      <xdr:row>16</xdr:row>
      <xdr:rowOff>0</xdr:rowOff>
    </xdr:to>
    <xdr:graphicFrame macro="[0]!AdjustControlsGraph_Click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</xdr:colOff>
      <xdr:row>4</xdr:row>
      <xdr:rowOff>0</xdr:rowOff>
    </xdr:from>
    <xdr:to>
      <xdr:col>17</xdr:col>
      <xdr:colOff>1</xdr:colOff>
      <xdr:row>10</xdr:row>
      <xdr:rowOff>0</xdr:rowOff>
    </xdr:to>
    <xdr:graphicFrame macro="[0]!AdjustResponseGraph_Click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12700</xdr:colOff>
      <xdr:row>12</xdr:row>
      <xdr:rowOff>12700</xdr:rowOff>
    </xdr:from>
    <xdr:ext cx="180038" cy="180975"/>
    <xdr:sp macro="[0]!SetSignals_Click" textlink="">
      <xdr:nvSpPr>
        <xdr:cNvPr id="4" name="ConvergenceSignal"/>
        <xdr:cNvSpPr>
          <a:spLocks noChangeArrowheads="1"/>
        </xdr:cNvSpPr>
      </xdr:nvSpPr>
      <xdr:spPr bwMode="auto">
        <a:xfrm>
          <a:off x="5918200" y="4184650"/>
          <a:ext cx="180038" cy="1809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  <a:extLst/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12</xdr:row>
      <xdr:rowOff>0</xdr:rowOff>
    </xdr:from>
    <xdr:to>
      <xdr:col>12</xdr:col>
      <xdr:colOff>0</xdr:colOff>
      <xdr:row>16</xdr:row>
      <xdr:rowOff>0</xdr:rowOff>
    </xdr:to>
    <xdr:graphicFrame macro="[0]!AdjustControlsGraph_Click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</xdr:colOff>
      <xdr:row>4</xdr:row>
      <xdr:rowOff>0</xdr:rowOff>
    </xdr:from>
    <xdr:to>
      <xdr:col>17</xdr:col>
      <xdr:colOff>1</xdr:colOff>
      <xdr:row>10</xdr:row>
      <xdr:rowOff>0</xdr:rowOff>
    </xdr:to>
    <xdr:graphicFrame macro="[0]!AdjustResponseGraph_Click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12700</xdr:colOff>
      <xdr:row>12</xdr:row>
      <xdr:rowOff>12700</xdr:rowOff>
    </xdr:from>
    <xdr:ext cx="181055" cy="180975"/>
    <xdr:sp macro="[0]!SetSignals_Click" textlink="">
      <xdr:nvSpPr>
        <xdr:cNvPr id="4" name="ConvergenceSignal"/>
        <xdr:cNvSpPr>
          <a:spLocks noChangeArrowheads="1"/>
        </xdr:cNvSpPr>
      </xdr:nvSpPr>
      <xdr:spPr bwMode="auto">
        <a:xfrm>
          <a:off x="5861050" y="4184650"/>
          <a:ext cx="181055" cy="1809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  <a:extLst/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12</xdr:row>
      <xdr:rowOff>0</xdr:rowOff>
    </xdr:from>
    <xdr:to>
      <xdr:col>12</xdr:col>
      <xdr:colOff>0</xdr:colOff>
      <xdr:row>16</xdr:row>
      <xdr:rowOff>0</xdr:rowOff>
    </xdr:to>
    <xdr:graphicFrame macro="[0]!AdjustControlsGraph_Click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</xdr:colOff>
      <xdr:row>4</xdr:row>
      <xdr:rowOff>0</xdr:rowOff>
    </xdr:from>
    <xdr:to>
      <xdr:col>17</xdr:col>
      <xdr:colOff>1</xdr:colOff>
      <xdr:row>10</xdr:row>
      <xdr:rowOff>0</xdr:rowOff>
    </xdr:to>
    <xdr:graphicFrame macro="[0]!AdjustResponseGraph_Click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219075</xdr:colOff>
      <xdr:row>2</xdr:row>
      <xdr:rowOff>114300</xdr:rowOff>
    </xdr:from>
    <xdr:to>
      <xdr:col>7</xdr:col>
      <xdr:colOff>613522</xdr:colOff>
      <xdr:row>3</xdr:row>
      <xdr:rowOff>67629</xdr:rowOff>
    </xdr:to>
    <xdr:pic>
      <xdr:nvPicPr>
        <xdr:cNvPr id="145" name="BugR" descr="C:\Users\EuroProject\AppData\Local\Microsoft\Windows\Temporary Internet Files\Content.IE5\IUQ5QBEV\MP900314057[1].jpg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6856" y="757238"/>
          <a:ext cx="394447" cy="2747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676275</xdr:colOff>
      <xdr:row>2</xdr:row>
      <xdr:rowOff>114300</xdr:rowOff>
    </xdr:from>
    <xdr:to>
      <xdr:col>7</xdr:col>
      <xdr:colOff>1070722</xdr:colOff>
      <xdr:row>3</xdr:row>
      <xdr:rowOff>67629</xdr:rowOff>
    </xdr:to>
    <xdr:pic>
      <xdr:nvPicPr>
        <xdr:cNvPr id="146" name="BugL" descr="C:\Users\EuroProject\AppData\Local\Microsoft\Windows\Temporary Internet Files\Content.IE5\IUQ5QBEV\MP900314057[1].jpg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9594056" y="757238"/>
          <a:ext cx="394447" cy="2747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5007</xdr:colOff>
      <xdr:row>2</xdr:row>
      <xdr:rowOff>288004</xdr:rowOff>
    </xdr:from>
    <xdr:to>
      <xdr:col>14</xdr:col>
      <xdr:colOff>5007</xdr:colOff>
      <xdr:row>63</xdr:row>
      <xdr:rowOff>288005</xdr:rowOff>
    </xdr:to>
    <xdr:cxnSp macro="">
      <xdr:nvCxnSpPr>
        <xdr:cNvPr id="450" name="P004Q"/>
        <xdr:cNvCxnSpPr/>
      </xdr:nvCxnSpPr>
      <xdr:spPr bwMode="auto">
        <a:xfrm>
          <a:off x="17840570" y="930942"/>
          <a:ext cx="0" cy="19609594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13</xdr:col>
      <xdr:colOff>5007</xdr:colOff>
      <xdr:row>2</xdr:row>
      <xdr:rowOff>288004</xdr:rowOff>
    </xdr:from>
    <xdr:to>
      <xdr:col>13</xdr:col>
      <xdr:colOff>5007</xdr:colOff>
      <xdr:row>63</xdr:row>
      <xdr:rowOff>288005</xdr:rowOff>
    </xdr:to>
    <xdr:cxnSp macro="">
      <xdr:nvCxnSpPr>
        <xdr:cNvPr id="451" name="A005Q"/>
        <xdr:cNvCxnSpPr/>
      </xdr:nvCxnSpPr>
      <xdr:spPr bwMode="auto">
        <a:xfrm>
          <a:off x="16566601" y="930942"/>
          <a:ext cx="0" cy="19609594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12</xdr:col>
      <xdr:colOff>5007</xdr:colOff>
      <xdr:row>2</xdr:row>
      <xdr:rowOff>288004</xdr:rowOff>
    </xdr:from>
    <xdr:to>
      <xdr:col>12</xdr:col>
      <xdr:colOff>5007</xdr:colOff>
      <xdr:row>63</xdr:row>
      <xdr:rowOff>288005</xdr:rowOff>
    </xdr:to>
    <xdr:cxnSp macro="">
      <xdr:nvCxnSpPr>
        <xdr:cNvPr id="452" name="A004Q"/>
        <xdr:cNvCxnSpPr/>
      </xdr:nvCxnSpPr>
      <xdr:spPr bwMode="auto">
        <a:xfrm>
          <a:off x="15292632" y="930942"/>
          <a:ext cx="0" cy="19609594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11</xdr:col>
      <xdr:colOff>5007</xdr:colOff>
      <xdr:row>2</xdr:row>
      <xdr:rowOff>288004</xdr:rowOff>
    </xdr:from>
    <xdr:to>
      <xdr:col>11</xdr:col>
      <xdr:colOff>5007</xdr:colOff>
      <xdr:row>63</xdr:row>
      <xdr:rowOff>288005</xdr:rowOff>
    </xdr:to>
    <xdr:cxnSp macro="">
      <xdr:nvCxnSpPr>
        <xdr:cNvPr id="453" name="A003Q"/>
        <xdr:cNvCxnSpPr/>
      </xdr:nvCxnSpPr>
      <xdr:spPr bwMode="auto">
        <a:xfrm>
          <a:off x="14018663" y="930942"/>
          <a:ext cx="0" cy="19609594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10</xdr:col>
      <xdr:colOff>5007</xdr:colOff>
      <xdr:row>2</xdr:row>
      <xdr:rowOff>288004</xdr:rowOff>
    </xdr:from>
    <xdr:to>
      <xdr:col>10</xdr:col>
      <xdr:colOff>5007</xdr:colOff>
      <xdr:row>63</xdr:row>
      <xdr:rowOff>288005</xdr:rowOff>
    </xdr:to>
    <xdr:cxnSp macro="">
      <xdr:nvCxnSpPr>
        <xdr:cNvPr id="454" name="F004Q"/>
        <xdr:cNvCxnSpPr/>
      </xdr:nvCxnSpPr>
      <xdr:spPr bwMode="auto">
        <a:xfrm>
          <a:off x="12744695" y="930942"/>
          <a:ext cx="0" cy="19609594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9</xdr:col>
      <xdr:colOff>5007</xdr:colOff>
      <xdr:row>2</xdr:row>
      <xdr:rowOff>288004</xdr:rowOff>
    </xdr:from>
    <xdr:to>
      <xdr:col>9</xdr:col>
      <xdr:colOff>5007</xdr:colOff>
      <xdr:row>63</xdr:row>
      <xdr:rowOff>288005</xdr:rowOff>
    </xdr:to>
    <xdr:cxnSp macro="">
      <xdr:nvCxnSpPr>
        <xdr:cNvPr id="455" name="P003Q"/>
        <xdr:cNvCxnSpPr/>
      </xdr:nvCxnSpPr>
      <xdr:spPr bwMode="auto">
        <a:xfrm>
          <a:off x="11470726" y="930942"/>
          <a:ext cx="0" cy="19609594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8</xdr:col>
      <xdr:colOff>5007</xdr:colOff>
      <xdr:row>2</xdr:row>
      <xdr:rowOff>288004</xdr:rowOff>
    </xdr:from>
    <xdr:to>
      <xdr:col>8</xdr:col>
      <xdr:colOff>5007</xdr:colOff>
      <xdr:row>63</xdr:row>
      <xdr:rowOff>288005</xdr:rowOff>
    </xdr:to>
    <xdr:cxnSp macro="">
      <xdr:nvCxnSpPr>
        <xdr:cNvPr id="456" name="F003Q"/>
        <xdr:cNvCxnSpPr/>
      </xdr:nvCxnSpPr>
      <xdr:spPr bwMode="auto">
        <a:xfrm>
          <a:off x="10196757" y="930942"/>
          <a:ext cx="0" cy="19609594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7</xdr:col>
      <xdr:colOff>5007</xdr:colOff>
      <xdr:row>2</xdr:row>
      <xdr:rowOff>288004</xdr:rowOff>
    </xdr:from>
    <xdr:to>
      <xdr:col>7</xdr:col>
      <xdr:colOff>5007</xdr:colOff>
      <xdr:row>63</xdr:row>
      <xdr:rowOff>288005</xdr:rowOff>
    </xdr:to>
    <xdr:cxnSp macro="">
      <xdr:nvCxnSpPr>
        <xdr:cNvPr id="457" name="A002Q"/>
        <xdr:cNvCxnSpPr/>
      </xdr:nvCxnSpPr>
      <xdr:spPr bwMode="auto">
        <a:xfrm>
          <a:off x="8922788" y="930942"/>
          <a:ext cx="0" cy="19609594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6</xdr:col>
      <xdr:colOff>5007</xdr:colOff>
      <xdr:row>2</xdr:row>
      <xdr:rowOff>288004</xdr:rowOff>
    </xdr:from>
    <xdr:to>
      <xdr:col>6</xdr:col>
      <xdr:colOff>5007</xdr:colOff>
      <xdr:row>63</xdr:row>
      <xdr:rowOff>288005</xdr:rowOff>
    </xdr:to>
    <xdr:cxnSp macro="">
      <xdr:nvCxnSpPr>
        <xdr:cNvPr id="458" name="P002Q"/>
        <xdr:cNvCxnSpPr/>
      </xdr:nvCxnSpPr>
      <xdr:spPr bwMode="auto">
        <a:xfrm>
          <a:off x="7648820" y="930942"/>
          <a:ext cx="0" cy="19609594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5</xdr:col>
      <xdr:colOff>5007</xdr:colOff>
      <xdr:row>2</xdr:row>
      <xdr:rowOff>288004</xdr:rowOff>
    </xdr:from>
    <xdr:to>
      <xdr:col>5</xdr:col>
      <xdr:colOff>5007</xdr:colOff>
      <xdr:row>63</xdr:row>
      <xdr:rowOff>288005</xdr:rowOff>
    </xdr:to>
    <xdr:cxnSp macro="">
      <xdr:nvCxnSpPr>
        <xdr:cNvPr id="459" name="F002Q"/>
        <xdr:cNvCxnSpPr/>
      </xdr:nvCxnSpPr>
      <xdr:spPr bwMode="auto">
        <a:xfrm>
          <a:off x="6374851" y="930942"/>
          <a:ext cx="0" cy="19609594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4</xdr:col>
      <xdr:colOff>5007</xdr:colOff>
      <xdr:row>2</xdr:row>
      <xdr:rowOff>288004</xdr:rowOff>
    </xdr:from>
    <xdr:to>
      <xdr:col>4</xdr:col>
      <xdr:colOff>5007</xdr:colOff>
      <xdr:row>63</xdr:row>
      <xdr:rowOff>288005</xdr:rowOff>
    </xdr:to>
    <xdr:cxnSp macro="">
      <xdr:nvCxnSpPr>
        <xdr:cNvPr id="460" name="A001Q"/>
        <xdr:cNvCxnSpPr/>
      </xdr:nvCxnSpPr>
      <xdr:spPr bwMode="auto">
        <a:xfrm>
          <a:off x="5100882" y="930942"/>
          <a:ext cx="0" cy="19609594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3</xdr:col>
      <xdr:colOff>5007</xdr:colOff>
      <xdr:row>2</xdr:row>
      <xdr:rowOff>288004</xdr:rowOff>
    </xdr:from>
    <xdr:to>
      <xdr:col>3</xdr:col>
      <xdr:colOff>5007</xdr:colOff>
      <xdr:row>63</xdr:row>
      <xdr:rowOff>288005</xdr:rowOff>
    </xdr:to>
    <xdr:cxnSp macro="">
      <xdr:nvCxnSpPr>
        <xdr:cNvPr id="461" name="P001Q"/>
        <xdr:cNvCxnSpPr/>
      </xdr:nvCxnSpPr>
      <xdr:spPr bwMode="auto">
        <a:xfrm>
          <a:off x="3826913" y="930942"/>
          <a:ext cx="0" cy="19609594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2</xdr:col>
      <xdr:colOff>5007</xdr:colOff>
      <xdr:row>2</xdr:row>
      <xdr:rowOff>288004</xdr:rowOff>
    </xdr:from>
    <xdr:to>
      <xdr:col>2</xdr:col>
      <xdr:colOff>5007</xdr:colOff>
      <xdr:row>63</xdr:row>
      <xdr:rowOff>288005</xdr:rowOff>
    </xdr:to>
    <xdr:cxnSp macro="">
      <xdr:nvCxnSpPr>
        <xdr:cNvPr id="462" name="F001Q"/>
        <xdr:cNvCxnSpPr/>
      </xdr:nvCxnSpPr>
      <xdr:spPr bwMode="auto">
        <a:xfrm>
          <a:off x="2552945" y="930942"/>
          <a:ext cx="0" cy="19609594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>
    <xdr:from>
      <xdr:col>1</xdr:col>
      <xdr:colOff>5007</xdr:colOff>
      <xdr:row>2</xdr:row>
      <xdr:rowOff>288004</xdr:rowOff>
    </xdr:from>
    <xdr:to>
      <xdr:col>1</xdr:col>
      <xdr:colOff>5007</xdr:colOff>
      <xdr:row>63</xdr:row>
      <xdr:rowOff>288005</xdr:rowOff>
    </xdr:to>
    <xdr:cxnSp macro="">
      <xdr:nvCxnSpPr>
        <xdr:cNvPr id="463" name="D001Q"/>
        <xdr:cNvCxnSpPr/>
      </xdr:nvCxnSpPr>
      <xdr:spPr bwMode="auto">
        <a:xfrm>
          <a:off x="1278976" y="930942"/>
          <a:ext cx="0" cy="19609594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 cap="flat" cmpd="sng" algn="ctr">
          <a:solidFill>
            <a:srgbClr val="7F7F7F"/>
          </a:solidFill>
          <a:prstDash val="dashDot"/>
          <a:round/>
          <a:headEnd type="none" w="med" len="med"/>
          <a:tailEnd type="none" w="med" len="med"/>
        </a:ln>
        <a:effectLst/>
        <a:extLst/>
      </xdr:spPr>
    </xdr:cxnSp>
    <xdr:clientData/>
  </xdr:twoCellAnchor>
  <xdr:twoCellAnchor editAs="absolute">
    <xdr:from>
      <xdr:col>0</xdr:col>
      <xdr:colOff>795582</xdr:colOff>
      <xdr:row>0</xdr:row>
      <xdr:rowOff>57150</xdr:rowOff>
    </xdr:from>
    <xdr:to>
      <xdr:col>4</xdr:col>
      <xdr:colOff>378846</xdr:colOff>
      <xdr:row>0</xdr:row>
      <xdr:rowOff>299628</xdr:rowOff>
    </xdr:to>
    <xdr:sp macro="" textlink="">
      <xdr:nvSpPr>
        <xdr:cNvPr id="464" name="CountingShape"/>
        <xdr:cNvSpPr/>
      </xdr:nvSpPr>
      <xdr:spPr bwMode="auto">
        <a:xfrm>
          <a:off x="795582" y="57150"/>
          <a:ext cx="4679139" cy="242478"/>
        </a:xfrm>
        <a:prstGeom prst="roundRect">
          <a:avLst/>
        </a:prstGeom>
        <a:solidFill>
          <a:schemeClr val="accent5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/>
      </xdr:spPr>
      <xdr:txBody>
        <a:bodyPr vertOverflow="clip" horzOverflow="clip" wrap="none" lIns="108000" tIns="0" rIns="108000" bIns="0" rtlCol="0" anchor="ctr" upright="1">
          <a:spAutoFit/>
        </a:bodyPr>
        <a:lstStyle/>
        <a:p>
          <a:pPr algn="l"/>
          <a:r>
            <a:rPr lang="en-US" sz="1400" b="0" i="0" u="none" strike="noStrike">
              <a:solidFill>
                <a:schemeClr val="accent6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21 Entry (E) + 17 eXit (X) + 13 Read (R) + 9 Write (W) = 60 CFP</a:t>
          </a:r>
          <a:endParaRPr lang="en-US" sz="1400">
            <a:solidFill>
              <a:schemeClr val="accent6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795582</xdr:colOff>
      <xdr:row>1</xdr:row>
      <xdr:rowOff>258636</xdr:rowOff>
    </xdr:from>
    <xdr:to>
      <xdr:col>1</xdr:col>
      <xdr:colOff>490782</xdr:colOff>
      <xdr:row>2</xdr:row>
      <xdr:rowOff>258636</xdr:rowOff>
    </xdr:to>
    <xdr:sp macro="" textlink="">
      <xdr:nvSpPr>
        <xdr:cNvPr id="465" name="D001"/>
        <xdr:cNvSpPr/>
      </xdr:nvSpPr>
      <xdr:spPr bwMode="auto">
        <a:xfrm>
          <a:off x="795582" y="580105"/>
          <a:ext cx="969169" cy="321469"/>
        </a:xfrm>
        <a:custGeom>
          <a:avLst/>
          <a:gdLst>
            <a:gd name="connsiteX0" fmla="*/ 0 w 10000"/>
            <a:gd name="connsiteY0" fmla="*/ 10000 h 10000"/>
            <a:gd name="connsiteX1" fmla="*/ 2000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00 h 10000"/>
            <a:gd name="connsiteX1" fmla="*/ 2000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00 h 10000"/>
            <a:gd name="connsiteX1" fmla="*/ 2000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00 h 10000"/>
            <a:gd name="connsiteX1" fmla="*/ 2000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00 h 10000"/>
            <a:gd name="connsiteX1" fmla="*/ 2000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00 h 10000"/>
            <a:gd name="connsiteX1" fmla="*/ 2000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00 h 10000"/>
            <a:gd name="connsiteX1" fmla="*/ 954 w 10000"/>
            <a:gd name="connsiteY1" fmla="*/ 0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0 w 10000"/>
            <a:gd name="connsiteY4" fmla="*/ 10000 h 10000"/>
            <a:gd name="connsiteX0" fmla="*/ 0 w 10000"/>
            <a:gd name="connsiteY0" fmla="*/ 10000 h 10000"/>
            <a:gd name="connsiteX1" fmla="*/ 954 w 10000"/>
            <a:gd name="connsiteY1" fmla="*/ 0 h 10000"/>
            <a:gd name="connsiteX2" fmla="*/ 10000 w 10000"/>
            <a:gd name="connsiteY2" fmla="*/ 0 h 10000"/>
            <a:gd name="connsiteX3" fmla="*/ 9046 w 10000"/>
            <a:gd name="connsiteY3" fmla="*/ 10000 h 10000"/>
            <a:gd name="connsiteX4" fmla="*/ 0 w 10000"/>
            <a:gd name="connsiteY4" fmla="*/ 1000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0000" h="10000">
              <a:moveTo>
                <a:pt x="0" y="10000"/>
              </a:moveTo>
              <a:lnTo>
                <a:pt x="954" y="0"/>
              </a:lnTo>
              <a:lnTo>
                <a:pt x="10000" y="0"/>
              </a:lnTo>
              <a:lnTo>
                <a:pt x="9046" y="10000"/>
              </a:lnTo>
              <a:lnTo>
                <a:pt x="0" y="10000"/>
              </a:lnTo>
              <a:close/>
            </a:path>
          </a:pathLst>
        </a:custGeom>
        <a:gradFill rotWithShape="0">
          <a:gsLst>
            <a:gs pos="0">
              <a:srgbClr val="FCE599"/>
            </a:gs>
            <a:gs pos="50000">
              <a:srgbClr val="FFC000"/>
            </a:gs>
            <a:gs pos="100000">
              <a:srgbClr val="FCE599"/>
            </a:gs>
          </a:gsLst>
          <a:lin ang="5400000" scaled="1"/>
        </a:gradFill>
        <a:ln w="9525" algn="ctr">
          <a:noFill/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kern="1200">
              <a:solidFill>
                <a:schemeClr val="tx1"/>
              </a:solidFill>
              <a:latin typeface="Arial Narrow" pitchFamily="34" charset="0"/>
              <a:ea typeface="+mn-ea"/>
              <a:cs typeface="Arial" charset="0"/>
            </a:rPr>
            <a:t>Kitchen User</a:t>
          </a:r>
        </a:p>
      </xdr:txBody>
    </xdr:sp>
    <xdr:clientData/>
  </xdr:twoCellAnchor>
  <xdr:twoCellAnchor editAs="oneCell">
    <xdr:from>
      <xdr:col>1</xdr:col>
      <xdr:colOff>795582</xdr:colOff>
      <xdr:row>1</xdr:row>
      <xdr:rowOff>258636</xdr:rowOff>
    </xdr:from>
    <xdr:to>
      <xdr:col>2</xdr:col>
      <xdr:colOff>490782</xdr:colOff>
      <xdr:row>2</xdr:row>
      <xdr:rowOff>258636</xdr:rowOff>
    </xdr:to>
    <xdr:sp macro="" textlink="">
      <xdr:nvSpPr>
        <xdr:cNvPr id="466" name="F001"/>
        <xdr:cNvSpPr/>
      </xdr:nvSpPr>
      <xdr:spPr bwMode="auto">
        <a:xfrm>
          <a:off x="2069551" y="580105"/>
          <a:ext cx="969169" cy="321469"/>
        </a:xfrm>
        <a:prstGeom prst="flowChartAlternateProcess">
          <a:avLst/>
        </a:prstGeom>
        <a:gradFill rotWithShape="1">
          <a:gsLst>
            <a:gs pos="0">
              <a:schemeClr val="accent1">
                <a:lumMod val="20000"/>
                <a:lumOff val="80000"/>
              </a:schemeClr>
            </a:gs>
            <a:gs pos="0">
              <a:srgbClr val="BBE0E3"/>
            </a:gs>
            <a:gs pos="100000">
              <a:schemeClr val="accent1">
                <a:lumMod val="60000"/>
                <a:lumOff val="40000"/>
              </a:schemeClr>
            </a:gs>
          </a:gsLst>
          <a:path path="rect">
            <a:fillToRect l="50000" t="50000" r="50000" b="50000"/>
          </a:path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Collect Recipes</a:t>
          </a:r>
        </a:p>
      </xdr:txBody>
    </xdr:sp>
    <xdr:clientData/>
  </xdr:twoCellAnchor>
  <xdr:twoCellAnchor editAs="oneCell">
    <xdr:from>
      <xdr:col>2</xdr:col>
      <xdr:colOff>795582</xdr:colOff>
      <xdr:row>1</xdr:row>
      <xdr:rowOff>258636</xdr:rowOff>
    </xdr:from>
    <xdr:to>
      <xdr:col>3</xdr:col>
      <xdr:colOff>490782</xdr:colOff>
      <xdr:row>2</xdr:row>
      <xdr:rowOff>258636</xdr:rowOff>
    </xdr:to>
    <xdr:sp macro="" textlink="">
      <xdr:nvSpPr>
        <xdr:cNvPr id="467" name="P001"/>
        <xdr:cNvSpPr/>
      </xdr:nvSpPr>
      <xdr:spPr bwMode="auto">
        <a:xfrm>
          <a:off x="3343520" y="580105"/>
          <a:ext cx="969168" cy="321469"/>
        </a:xfrm>
        <a:prstGeom prst="flowChartInternalStorage">
          <a:avLst/>
        </a:prstGeom>
        <a:gradFill rotWithShape="0">
          <a:gsLst>
            <a:gs pos="0">
              <a:schemeClr val="accent6">
                <a:lumMod val="60000"/>
                <a:lumOff val="40000"/>
              </a:schemeClr>
            </a:gs>
            <a:gs pos="100000">
              <a:schemeClr val="accent6">
                <a:lumMod val="20000"/>
                <a:lumOff val="80000"/>
              </a:schemeClr>
            </a:gs>
          </a:gsLst>
          <a:path path="rect">
            <a:fillToRect l="100000" t="100000"/>
          </a:path>
        </a:gradFill>
        <a:ln w="9525" algn="ctr">
          <a:solidFill>
            <a:schemeClr val="accent3">
              <a:lumMod val="85000"/>
            </a:schemeClr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Recipe Database</a:t>
          </a:r>
        </a:p>
      </xdr:txBody>
    </xdr:sp>
    <xdr:clientData/>
  </xdr:twoCellAnchor>
  <xdr:twoCellAnchor editAs="oneCell">
    <xdr:from>
      <xdr:col>3</xdr:col>
      <xdr:colOff>795582</xdr:colOff>
      <xdr:row>1</xdr:row>
      <xdr:rowOff>258636</xdr:rowOff>
    </xdr:from>
    <xdr:to>
      <xdr:col>4</xdr:col>
      <xdr:colOff>490782</xdr:colOff>
      <xdr:row>2</xdr:row>
      <xdr:rowOff>258636</xdr:rowOff>
    </xdr:to>
    <xdr:sp macro="" textlink="">
      <xdr:nvSpPr>
        <xdr:cNvPr id="468" name="A001"/>
        <xdr:cNvSpPr/>
      </xdr:nvSpPr>
      <xdr:spPr bwMode="auto">
        <a:xfrm>
          <a:off x="4617488" y="580105"/>
          <a:ext cx="969169" cy="321469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>
            <a:lnSpc>
              <a:spcPct val="100000"/>
            </a:lnSpc>
          </a:pPr>
          <a:r>
            <a:rPr lang="de-CH" sz="10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Recipe Portal</a:t>
          </a:r>
        </a:p>
      </xdr:txBody>
    </xdr:sp>
    <xdr:clientData/>
  </xdr:twoCellAnchor>
  <xdr:twoCellAnchor editAs="oneCell">
    <xdr:from>
      <xdr:col>4</xdr:col>
      <xdr:colOff>795582</xdr:colOff>
      <xdr:row>1</xdr:row>
      <xdr:rowOff>258636</xdr:rowOff>
    </xdr:from>
    <xdr:to>
      <xdr:col>5</xdr:col>
      <xdr:colOff>490782</xdr:colOff>
      <xdr:row>2</xdr:row>
      <xdr:rowOff>258636</xdr:rowOff>
    </xdr:to>
    <xdr:sp macro="" textlink="">
      <xdr:nvSpPr>
        <xdr:cNvPr id="469" name="F002"/>
        <xdr:cNvSpPr/>
      </xdr:nvSpPr>
      <xdr:spPr bwMode="auto">
        <a:xfrm>
          <a:off x="5891457" y="580105"/>
          <a:ext cx="969169" cy="321469"/>
        </a:xfrm>
        <a:prstGeom prst="flowChartAlternateProcess">
          <a:avLst/>
        </a:prstGeom>
        <a:gradFill rotWithShape="1">
          <a:gsLst>
            <a:gs pos="0">
              <a:schemeClr val="accent1">
                <a:lumMod val="20000"/>
                <a:lumOff val="80000"/>
              </a:schemeClr>
            </a:gs>
            <a:gs pos="0">
              <a:srgbClr val="BBE0E3"/>
            </a:gs>
            <a:gs pos="100000">
              <a:schemeClr val="accent1">
                <a:lumMod val="60000"/>
                <a:lumOff val="40000"/>
              </a:schemeClr>
            </a:gs>
          </a:gsLst>
          <a:path path="rect">
            <a:fillToRect l="50000" t="50000" r="50000" b="50000"/>
          </a:path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Identify Food</a:t>
          </a:r>
        </a:p>
      </xdr:txBody>
    </xdr:sp>
    <xdr:clientData/>
  </xdr:twoCellAnchor>
  <xdr:twoCellAnchor editAs="oneCell">
    <xdr:from>
      <xdr:col>5</xdr:col>
      <xdr:colOff>795582</xdr:colOff>
      <xdr:row>1</xdr:row>
      <xdr:rowOff>258636</xdr:rowOff>
    </xdr:from>
    <xdr:to>
      <xdr:col>6</xdr:col>
      <xdr:colOff>490782</xdr:colOff>
      <xdr:row>2</xdr:row>
      <xdr:rowOff>258636</xdr:rowOff>
    </xdr:to>
    <xdr:sp macro="" textlink="">
      <xdr:nvSpPr>
        <xdr:cNvPr id="470" name="P002"/>
        <xdr:cNvSpPr/>
      </xdr:nvSpPr>
      <xdr:spPr bwMode="auto">
        <a:xfrm>
          <a:off x="7165426" y="580105"/>
          <a:ext cx="969169" cy="321469"/>
        </a:xfrm>
        <a:prstGeom prst="flowChartInternalStorage">
          <a:avLst/>
        </a:prstGeom>
        <a:gradFill rotWithShape="0">
          <a:gsLst>
            <a:gs pos="0">
              <a:schemeClr val="accent6">
                <a:lumMod val="60000"/>
                <a:lumOff val="40000"/>
              </a:schemeClr>
            </a:gs>
            <a:gs pos="100000">
              <a:schemeClr val="accent6">
                <a:lumMod val="20000"/>
                <a:lumOff val="80000"/>
              </a:schemeClr>
            </a:gs>
          </a:gsLst>
          <a:path path="rect">
            <a:fillToRect l="100000" t="100000"/>
          </a:path>
        </a:gradFill>
        <a:ln w="9525" algn="ctr">
          <a:solidFill>
            <a:schemeClr val="accent3">
              <a:lumMod val="85000"/>
            </a:schemeClr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Food Database</a:t>
          </a:r>
        </a:p>
      </xdr:txBody>
    </xdr:sp>
    <xdr:clientData/>
  </xdr:twoCellAnchor>
  <xdr:twoCellAnchor editAs="oneCell">
    <xdr:from>
      <xdr:col>6</xdr:col>
      <xdr:colOff>795582</xdr:colOff>
      <xdr:row>1</xdr:row>
      <xdr:rowOff>258636</xdr:rowOff>
    </xdr:from>
    <xdr:to>
      <xdr:col>7</xdr:col>
      <xdr:colOff>490782</xdr:colOff>
      <xdr:row>2</xdr:row>
      <xdr:rowOff>258636</xdr:rowOff>
    </xdr:to>
    <xdr:sp macro="" textlink="">
      <xdr:nvSpPr>
        <xdr:cNvPr id="471" name="A002"/>
        <xdr:cNvSpPr/>
      </xdr:nvSpPr>
      <xdr:spPr bwMode="auto">
        <a:xfrm>
          <a:off x="8439395" y="580105"/>
          <a:ext cx="969168" cy="321469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>
            <a:lnSpc>
              <a:spcPct val="100000"/>
            </a:lnSpc>
          </a:pPr>
          <a:r>
            <a:rPr lang="de-CH" sz="10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Grocery Shop</a:t>
          </a:r>
        </a:p>
      </xdr:txBody>
    </xdr:sp>
    <xdr:clientData/>
  </xdr:twoCellAnchor>
  <xdr:twoCellAnchor editAs="oneCell">
    <xdr:from>
      <xdr:col>7</xdr:col>
      <xdr:colOff>795582</xdr:colOff>
      <xdr:row>1</xdr:row>
      <xdr:rowOff>258636</xdr:rowOff>
    </xdr:from>
    <xdr:to>
      <xdr:col>8</xdr:col>
      <xdr:colOff>490782</xdr:colOff>
      <xdr:row>2</xdr:row>
      <xdr:rowOff>258636</xdr:rowOff>
    </xdr:to>
    <xdr:sp macro="" textlink="">
      <xdr:nvSpPr>
        <xdr:cNvPr id="472" name="F003"/>
        <xdr:cNvSpPr/>
      </xdr:nvSpPr>
      <xdr:spPr bwMode="auto">
        <a:xfrm>
          <a:off x="9713363" y="580105"/>
          <a:ext cx="969169" cy="321469"/>
        </a:xfrm>
        <a:prstGeom prst="flowChartAlternateProcess">
          <a:avLst/>
        </a:prstGeom>
        <a:gradFill rotWithShape="1">
          <a:gsLst>
            <a:gs pos="0">
              <a:schemeClr val="accent1">
                <a:lumMod val="20000"/>
                <a:lumOff val="80000"/>
              </a:schemeClr>
            </a:gs>
            <a:gs pos="0">
              <a:srgbClr val="BBE0E3"/>
            </a:gs>
            <a:gs pos="100000">
              <a:schemeClr val="accent1">
                <a:lumMod val="60000"/>
                <a:lumOff val="40000"/>
              </a:schemeClr>
            </a:gs>
          </a:gsLst>
          <a:path path="rect">
            <a:fillToRect l="50000" t="50000" r="50000" b="50000"/>
          </a:path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Kitchen Inventory</a:t>
          </a:r>
        </a:p>
      </xdr:txBody>
    </xdr:sp>
    <xdr:clientData/>
  </xdr:twoCellAnchor>
  <xdr:twoCellAnchor editAs="oneCell">
    <xdr:from>
      <xdr:col>8</xdr:col>
      <xdr:colOff>795582</xdr:colOff>
      <xdr:row>1</xdr:row>
      <xdr:rowOff>258636</xdr:rowOff>
    </xdr:from>
    <xdr:to>
      <xdr:col>9</xdr:col>
      <xdr:colOff>490782</xdr:colOff>
      <xdr:row>2</xdr:row>
      <xdr:rowOff>258636</xdr:rowOff>
    </xdr:to>
    <xdr:sp macro="" textlink="">
      <xdr:nvSpPr>
        <xdr:cNvPr id="473" name="P003"/>
        <xdr:cNvSpPr/>
      </xdr:nvSpPr>
      <xdr:spPr bwMode="auto">
        <a:xfrm>
          <a:off x="10987332" y="580105"/>
          <a:ext cx="969169" cy="321469"/>
        </a:xfrm>
        <a:prstGeom prst="flowChartInternalStorage">
          <a:avLst/>
        </a:prstGeom>
        <a:gradFill rotWithShape="0">
          <a:gsLst>
            <a:gs pos="0">
              <a:schemeClr val="accent6">
                <a:lumMod val="60000"/>
                <a:lumOff val="40000"/>
              </a:schemeClr>
            </a:gs>
            <a:gs pos="100000">
              <a:schemeClr val="accent6">
                <a:lumMod val="20000"/>
                <a:lumOff val="80000"/>
              </a:schemeClr>
            </a:gs>
          </a:gsLst>
          <a:path path="rect">
            <a:fillToRect l="100000" t="100000"/>
          </a:path>
        </a:gradFill>
        <a:ln w="9525" algn="ctr">
          <a:solidFill>
            <a:schemeClr val="accent3">
              <a:lumMod val="85000"/>
            </a:schemeClr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Inventory Database</a:t>
          </a:r>
        </a:p>
      </xdr:txBody>
    </xdr:sp>
    <xdr:clientData/>
  </xdr:twoCellAnchor>
  <xdr:twoCellAnchor editAs="oneCell">
    <xdr:from>
      <xdr:col>9</xdr:col>
      <xdr:colOff>795582</xdr:colOff>
      <xdr:row>1</xdr:row>
      <xdr:rowOff>258636</xdr:rowOff>
    </xdr:from>
    <xdr:to>
      <xdr:col>10</xdr:col>
      <xdr:colOff>490782</xdr:colOff>
      <xdr:row>2</xdr:row>
      <xdr:rowOff>258636</xdr:rowOff>
    </xdr:to>
    <xdr:sp macro="" textlink="">
      <xdr:nvSpPr>
        <xdr:cNvPr id="474" name="F004"/>
        <xdr:cNvSpPr/>
      </xdr:nvSpPr>
      <xdr:spPr bwMode="auto">
        <a:xfrm>
          <a:off x="12261301" y="580105"/>
          <a:ext cx="969169" cy="321469"/>
        </a:xfrm>
        <a:prstGeom prst="flowChartAlternateProcess">
          <a:avLst/>
        </a:prstGeom>
        <a:gradFill rotWithShape="1">
          <a:gsLst>
            <a:gs pos="0">
              <a:schemeClr val="accent1">
                <a:lumMod val="20000"/>
                <a:lumOff val="80000"/>
              </a:schemeClr>
            </a:gs>
            <a:gs pos="0">
              <a:srgbClr val="BBE0E3"/>
            </a:gs>
            <a:gs pos="100000">
              <a:schemeClr val="accent1">
                <a:lumMod val="60000"/>
                <a:lumOff val="40000"/>
              </a:schemeClr>
            </a:gs>
          </a:gsLst>
          <a:path path="rect">
            <a:fillToRect l="50000" t="50000" r="50000" b="50000"/>
          </a:path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Execute Recipe</a:t>
          </a:r>
        </a:p>
      </xdr:txBody>
    </xdr:sp>
    <xdr:clientData/>
  </xdr:twoCellAnchor>
  <xdr:twoCellAnchor editAs="oneCell">
    <xdr:from>
      <xdr:col>10</xdr:col>
      <xdr:colOff>795582</xdr:colOff>
      <xdr:row>1</xdr:row>
      <xdr:rowOff>258636</xdr:rowOff>
    </xdr:from>
    <xdr:to>
      <xdr:col>11</xdr:col>
      <xdr:colOff>490782</xdr:colOff>
      <xdr:row>2</xdr:row>
      <xdr:rowOff>258636</xdr:rowOff>
    </xdr:to>
    <xdr:sp macro="" textlink="">
      <xdr:nvSpPr>
        <xdr:cNvPr id="475" name="A003"/>
        <xdr:cNvSpPr/>
      </xdr:nvSpPr>
      <xdr:spPr bwMode="auto">
        <a:xfrm>
          <a:off x="13535270" y="580105"/>
          <a:ext cx="969168" cy="321469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>
            <a:lnSpc>
              <a:spcPct val="100000"/>
            </a:lnSpc>
          </a:pPr>
          <a:r>
            <a:rPr lang="de-CH" sz="10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Kitchen Controls</a:t>
          </a:r>
        </a:p>
      </xdr:txBody>
    </xdr:sp>
    <xdr:clientData/>
  </xdr:twoCellAnchor>
  <xdr:twoCellAnchor editAs="oneCell">
    <xdr:from>
      <xdr:col>11</xdr:col>
      <xdr:colOff>795582</xdr:colOff>
      <xdr:row>1</xdr:row>
      <xdr:rowOff>258636</xdr:rowOff>
    </xdr:from>
    <xdr:to>
      <xdr:col>12</xdr:col>
      <xdr:colOff>490782</xdr:colOff>
      <xdr:row>2</xdr:row>
      <xdr:rowOff>258636</xdr:rowOff>
    </xdr:to>
    <xdr:sp macro="" textlink="">
      <xdr:nvSpPr>
        <xdr:cNvPr id="476" name="A004"/>
        <xdr:cNvSpPr/>
      </xdr:nvSpPr>
      <xdr:spPr bwMode="auto">
        <a:xfrm>
          <a:off x="14809238" y="580105"/>
          <a:ext cx="969169" cy="321469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>
            <a:lnSpc>
              <a:spcPct val="100000"/>
            </a:lnSpc>
          </a:pPr>
          <a:r>
            <a:rPr lang="de-CH" sz="10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Boiling Plates</a:t>
          </a:r>
        </a:p>
      </xdr:txBody>
    </xdr:sp>
    <xdr:clientData/>
  </xdr:twoCellAnchor>
  <xdr:twoCellAnchor editAs="oneCell">
    <xdr:from>
      <xdr:col>12</xdr:col>
      <xdr:colOff>795582</xdr:colOff>
      <xdr:row>1</xdr:row>
      <xdr:rowOff>258636</xdr:rowOff>
    </xdr:from>
    <xdr:to>
      <xdr:col>13</xdr:col>
      <xdr:colOff>490782</xdr:colOff>
      <xdr:row>2</xdr:row>
      <xdr:rowOff>258636</xdr:rowOff>
    </xdr:to>
    <xdr:sp macro="" textlink="">
      <xdr:nvSpPr>
        <xdr:cNvPr id="477" name="A005"/>
        <xdr:cNvSpPr/>
      </xdr:nvSpPr>
      <xdr:spPr bwMode="auto">
        <a:xfrm>
          <a:off x="16083207" y="580105"/>
          <a:ext cx="969169" cy="321469"/>
        </a:xfrm>
        <a:prstGeom prst="flowChartPredefinedProcess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>
            <a:lnSpc>
              <a:spcPct val="100000"/>
            </a:lnSpc>
          </a:pPr>
          <a:r>
            <a:rPr lang="de-CH" sz="1000" b="0" kern="1200">
              <a:solidFill>
                <a:srgbClr val="654321"/>
              </a:solidFill>
              <a:latin typeface="Arial Narrow" pitchFamily="34" charset="0"/>
              <a:ea typeface="+mn-ea"/>
              <a:cs typeface="Calibri" pitchFamily="34" charset="0"/>
            </a:rPr>
            <a:t>Oven &amp; Steamer</a:t>
          </a:r>
        </a:p>
      </xdr:txBody>
    </xdr:sp>
    <xdr:clientData/>
  </xdr:twoCellAnchor>
  <xdr:twoCellAnchor editAs="oneCell">
    <xdr:from>
      <xdr:col>13</xdr:col>
      <xdr:colOff>795582</xdr:colOff>
      <xdr:row>1</xdr:row>
      <xdr:rowOff>258636</xdr:rowOff>
    </xdr:from>
    <xdr:to>
      <xdr:col>14</xdr:col>
      <xdr:colOff>490782</xdr:colOff>
      <xdr:row>2</xdr:row>
      <xdr:rowOff>258636</xdr:rowOff>
    </xdr:to>
    <xdr:sp macro="" textlink="">
      <xdr:nvSpPr>
        <xdr:cNvPr id="478" name="P004"/>
        <xdr:cNvSpPr/>
      </xdr:nvSpPr>
      <xdr:spPr bwMode="auto">
        <a:xfrm>
          <a:off x="17357176" y="580105"/>
          <a:ext cx="969169" cy="321469"/>
        </a:xfrm>
        <a:prstGeom prst="flowChartInternalStorage">
          <a:avLst/>
        </a:prstGeom>
        <a:gradFill rotWithShape="0">
          <a:gsLst>
            <a:gs pos="0">
              <a:schemeClr val="accent6">
                <a:lumMod val="60000"/>
                <a:lumOff val="40000"/>
              </a:schemeClr>
            </a:gs>
            <a:gs pos="100000">
              <a:schemeClr val="accent6">
                <a:lumMod val="20000"/>
                <a:lumOff val="80000"/>
              </a:schemeClr>
            </a:gs>
          </a:gsLst>
          <a:path path="rect">
            <a:fillToRect l="100000" t="100000"/>
          </a:path>
        </a:gradFill>
        <a:ln w="9525" algn="ctr">
          <a:solidFill>
            <a:schemeClr val="accent3">
              <a:lumMod val="85000"/>
            </a:schemeClr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overflow" horzOverflow="overflow" wrap="none" anchor="ctr">
          <a:noAutofit/>
        </a:bodyPr>
        <a:lstStyle/>
        <a:p>
          <a:pPr marL="0" indent="0" algn="ctr" defTabSz="914400" rtl="0" eaLnBrk="1" latinLnBrk="0" hangingPunct="1"/>
          <a:r>
            <a: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Calibri" pitchFamily="34" charset="0"/>
            </a:rPr>
            <a:t>Recipe Log</a:t>
          </a:r>
        </a:p>
      </xdr:txBody>
    </xdr:sp>
    <xdr:clientData/>
  </xdr:twoCellAnchor>
  <xdr:twoCellAnchor>
    <xdr:from>
      <xdr:col>0</xdr:col>
      <xdr:colOff>1214682</xdr:colOff>
      <xdr:row>3</xdr:row>
      <xdr:rowOff>133868</xdr:rowOff>
    </xdr:from>
    <xdr:to>
      <xdr:col>2</xdr:col>
      <xdr:colOff>71682</xdr:colOff>
      <xdr:row>4</xdr:row>
      <xdr:rowOff>23686</xdr:rowOff>
    </xdr:to>
    <xdr:grpSp>
      <xdr:nvGrpSpPr>
        <xdr:cNvPr id="479" name="E001"/>
        <xdr:cNvGrpSpPr/>
      </xdr:nvGrpSpPr>
      <xdr:grpSpPr>
        <a:xfrm>
          <a:off x="1214682" y="1098274"/>
          <a:ext cx="1404938" cy="211287"/>
          <a:chOff x="1209675" y="1138882"/>
          <a:chExt cx="1409700" cy="213668"/>
        </a:xfrm>
      </xdr:grpSpPr>
      <xdr:sp macro="Mov001_Click" textlink="">
        <xdr:nvSpPr>
          <xdr:cNvPr id="480" name="E001L"/>
          <xdr:cNvSpPr/>
        </xdr:nvSpPr>
        <xdr:spPr bwMode="auto">
          <a:xfrm>
            <a:off x="1209675" y="123825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1_Click" textlink="">
        <xdr:nvSpPr>
          <xdr:cNvPr id="481" name="E001R"/>
          <xdr:cNvSpPr/>
        </xdr:nvSpPr>
        <xdr:spPr bwMode="auto">
          <a:xfrm>
            <a:off x="2486025" y="12382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1_Click">
        <xdr:nvCxnSpPr>
          <xdr:cNvPr id="482" name="E001C"/>
          <xdr:cNvCxnSpPr>
            <a:stCxn id="480" idx="3"/>
            <a:endCxn id="481" idx="1"/>
          </xdr:cNvCxnSpPr>
        </xdr:nvCxnSpPr>
        <xdr:spPr bwMode="auto">
          <a:xfrm>
            <a:off x="1343025" y="12954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01_Click" textlink="">
        <xdr:nvSpPr>
          <xdr:cNvPr id="483" name="E001T"/>
          <xdr:cNvSpPr txBox="1"/>
        </xdr:nvSpPr>
        <xdr:spPr>
          <a:xfrm>
            <a:off x="1343025" y="1138882"/>
            <a:ext cx="1022844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1.// Enter New Recipe</a:t>
            </a:r>
          </a:p>
        </xdr:txBody>
      </xdr:sp>
    </xdr:grpSp>
    <xdr:clientData/>
  </xdr:twoCellAnchor>
  <xdr:twoCellAnchor>
    <xdr:from>
      <xdr:col>0</xdr:col>
      <xdr:colOff>85725</xdr:colOff>
      <xdr:row>0</xdr:row>
      <xdr:rowOff>204661</xdr:rowOff>
    </xdr:from>
    <xdr:to>
      <xdr:col>0</xdr:col>
      <xdr:colOff>546588</xdr:colOff>
      <xdr:row>2</xdr:row>
      <xdr:rowOff>272371</xdr:rowOff>
    </xdr:to>
    <xdr:grpSp>
      <xdr:nvGrpSpPr>
        <xdr:cNvPr id="484" name="T01"/>
        <xdr:cNvGrpSpPr/>
      </xdr:nvGrpSpPr>
      <xdr:grpSpPr>
        <a:xfrm>
          <a:off x="85725" y="204661"/>
          <a:ext cx="460863" cy="710648"/>
          <a:chOff x="80718" y="238125"/>
          <a:chExt cx="460863" cy="715410"/>
        </a:xfrm>
      </xdr:grpSpPr>
      <xdr:sp macro="Trg001_Click" textlink="">
        <xdr:nvSpPr>
          <xdr:cNvPr id="485" name="T01S"/>
          <xdr:cNvSpPr/>
        </xdr:nvSpPr>
        <xdr:spPr bwMode="auto">
          <a:xfrm>
            <a:off x="85725" y="23812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01_Click" textlink="">
        <xdr:nvSpPr>
          <xdr:cNvPr id="486" name="T01T"/>
          <xdr:cNvSpPr txBox="1"/>
        </xdr:nvSpPr>
        <xdr:spPr>
          <a:xfrm>
            <a:off x="80718" y="68897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Enter</a:t>
            </a:r>
          </a:p>
        </xdr:txBody>
      </xdr:sp>
    </xdr:grpSp>
    <xdr:clientData/>
  </xdr:twoCellAnchor>
  <xdr:twoCellAnchor>
    <xdr:from>
      <xdr:col>0</xdr:col>
      <xdr:colOff>316157</xdr:colOff>
      <xdr:row>2</xdr:row>
      <xdr:rowOff>272370</xdr:rowOff>
    </xdr:from>
    <xdr:to>
      <xdr:col>0</xdr:col>
      <xdr:colOff>1214682</xdr:colOff>
      <xdr:row>3</xdr:row>
      <xdr:rowOff>288641</xdr:rowOff>
    </xdr:to>
    <xdr:cxnSp macro="">
      <xdr:nvCxnSpPr>
        <xdr:cNvPr id="487" name="T01C"/>
        <xdr:cNvCxnSpPr>
          <a:stCxn id="486" idx="2"/>
          <a:endCxn id="480" idx="1"/>
        </xdr:cNvCxnSpPr>
      </xdr:nvCxnSpPr>
      <xdr:spPr bwMode="auto">
        <a:xfrm rot="16200000" flipH="1">
          <a:off x="596550" y="634915"/>
          <a:ext cx="337739" cy="898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</xdr:col>
      <xdr:colOff>1214682</xdr:colOff>
      <xdr:row>4</xdr:row>
      <xdr:rowOff>133868</xdr:rowOff>
    </xdr:from>
    <xdr:to>
      <xdr:col>3</xdr:col>
      <xdr:colOff>71682</xdr:colOff>
      <xdr:row>5</xdr:row>
      <xdr:rowOff>23686</xdr:rowOff>
    </xdr:to>
    <xdr:grpSp>
      <xdr:nvGrpSpPr>
        <xdr:cNvPr id="488" name="W001"/>
        <xdr:cNvGrpSpPr/>
      </xdr:nvGrpSpPr>
      <xdr:grpSpPr>
        <a:xfrm>
          <a:off x="2488651" y="1419743"/>
          <a:ext cx="1404937" cy="211287"/>
          <a:chOff x="2486025" y="1462732"/>
          <a:chExt cx="1409700" cy="213668"/>
        </a:xfrm>
      </xdr:grpSpPr>
      <xdr:sp macro="Mov002_Click" textlink="">
        <xdr:nvSpPr>
          <xdr:cNvPr id="489" name="W001L"/>
          <xdr:cNvSpPr/>
        </xdr:nvSpPr>
        <xdr:spPr bwMode="auto">
          <a:xfrm>
            <a:off x="2486025" y="156210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2_Click" textlink="">
        <xdr:nvSpPr>
          <xdr:cNvPr id="490" name="W001R"/>
          <xdr:cNvSpPr/>
        </xdr:nvSpPr>
        <xdr:spPr bwMode="auto">
          <a:xfrm>
            <a:off x="3762375" y="15621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2_Click">
        <xdr:nvCxnSpPr>
          <xdr:cNvPr id="491" name="W001C"/>
          <xdr:cNvCxnSpPr>
            <a:stCxn id="489" idx="3"/>
            <a:endCxn id="490" idx="1"/>
          </xdr:cNvCxnSpPr>
        </xdr:nvCxnSpPr>
        <xdr:spPr bwMode="auto">
          <a:xfrm>
            <a:off x="2619375" y="16192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02_Click" textlink="">
        <xdr:nvSpPr>
          <xdr:cNvPr id="492" name="W001T"/>
          <xdr:cNvSpPr txBox="1"/>
        </xdr:nvSpPr>
        <xdr:spPr>
          <a:xfrm>
            <a:off x="2619375" y="1462732"/>
            <a:ext cx="783291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2.// Store Recipe</a:t>
            </a:r>
          </a:p>
        </xdr:txBody>
      </xdr:sp>
    </xdr:grpSp>
    <xdr:clientData/>
  </xdr:twoCellAnchor>
  <xdr:twoCellAnchor>
    <xdr:from>
      <xdr:col>1</xdr:col>
      <xdr:colOff>1214682</xdr:colOff>
      <xdr:row>5</xdr:row>
      <xdr:rowOff>133868</xdr:rowOff>
    </xdr:from>
    <xdr:to>
      <xdr:col>3</xdr:col>
      <xdr:colOff>71682</xdr:colOff>
      <xdr:row>6</xdr:row>
      <xdr:rowOff>23686</xdr:rowOff>
    </xdr:to>
    <xdr:grpSp>
      <xdr:nvGrpSpPr>
        <xdr:cNvPr id="493" name="R001"/>
        <xdr:cNvGrpSpPr/>
      </xdr:nvGrpSpPr>
      <xdr:grpSpPr>
        <a:xfrm>
          <a:off x="2488651" y="1741212"/>
          <a:ext cx="1404937" cy="211287"/>
          <a:chOff x="2486025" y="1786582"/>
          <a:chExt cx="1409700" cy="213668"/>
        </a:xfrm>
      </xdr:grpSpPr>
      <xdr:sp macro="Mov003_Click" textlink="">
        <xdr:nvSpPr>
          <xdr:cNvPr id="494" name="R001L"/>
          <xdr:cNvSpPr/>
        </xdr:nvSpPr>
        <xdr:spPr bwMode="auto">
          <a:xfrm>
            <a:off x="3762375" y="188595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3_Click" textlink="">
        <xdr:nvSpPr>
          <xdr:cNvPr id="495" name="R001R"/>
          <xdr:cNvSpPr/>
        </xdr:nvSpPr>
        <xdr:spPr bwMode="auto">
          <a:xfrm>
            <a:off x="2486025" y="18859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3_Click">
        <xdr:nvCxnSpPr>
          <xdr:cNvPr id="496" name="R001C"/>
          <xdr:cNvCxnSpPr>
            <a:stCxn id="494" idx="1"/>
            <a:endCxn id="495" idx="3"/>
          </xdr:cNvCxnSpPr>
        </xdr:nvCxnSpPr>
        <xdr:spPr bwMode="auto">
          <a:xfrm flipH="1">
            <a:off x="2619375" y="19431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03_Click" textlink="">
        <xdr:nvSpPr>
          <xdr:cNvPr id="497" name="R001T"/>
          <xdr:cNvSpPr txBox="1"/>
        </xdr:nvSpPr>
        <xdr:spPr>
          <a:xfrm>
            <a:off x="2979148" y="1786582"/>
            <a:ext cx="783292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3.// Read Recipe</a:t>
            </a:r>
          </a:p>
        </xdr:txBody>
      </xdr:sp>
    </xdr:grpSp>
    <xdr:clientData/>
  </xdr:twoCellAnchor>
  <xdr:twoCellAnchor>
    <xdr:from>
      <xdr:col>0</xdr:col>
      <xdr:colOff>1214682</xdr:colOff>
      <xdr:row>6</xdr:row>
      <xdr:rowOff>133868</xdr:rowOff>
    </xdr:from>
    <xdr:to>
      <xdr:col>2</xdr:col>
      <xdr:colOff>71682</xdr:colOff>
      <xdr:row>7</xdr:row>
      <xdr:rowOff>23686</xdr:rowOff>
    </xdr:to>
    <xdr:grpSp>
      <xdr:nvGrpSpPr>
        <xdr:cNvPr id="498" name="E002"/>
        <xdr:cNvGrpSpPr/>
      </xdr:nvGrpSpPr>
      <xdr:grpSpPr>
        <a:xfrm>
          <a:off x="1214682" y="2062681"/>
          <a:ext cx="1404938" cy="211286"/>
          <a:chOff x="1209675" y="2110432"/>
          <a:chExt cx="1409700" cy="213668"/>
        </a:xfrm>
      </xdr:grpSpPr>
      <xdr:sp macro="Mov004_Click" textlink="">
        <xdr:nvSpPr>
          <xdr:cNvPr id="499" name="E002L"/>
          <xdr:cNvSpPr/>
        </xdr:nvSpPr>
        <xdr:spPr bwMode="auto">
          <a:xfrm>
            <a:off x="1209675" y="22098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4_Click" textlink="">
        <xdr:nvSpPr>
          <xdr:cNvPr id="500" name="E002R"/>
          <xdr:cNvSpPr/>
        </xdr:nvSpPr>
        <xdr:spPr bwMode="auto">
          <a:xfrm>
            <a:off x="2486025" y="22098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4_Click">
        <xdr:nvCxnSpPr>
          <xdr:cNvPr id="501" name="E002C"/>
          <xdr:cNvCxnSpPr>
            <a:stCxn id="499" idx="3"/>
            <a:endCxn id="500" idx="1"/>
          </xdr:cNvCxnSpPr>
        </xdr:nvCxnSpPr>
        <xdr:spPr bwMode="auto">
          <a:xfrm>
            <a:off x="1343025" y="22669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04_Click" textlink="">
        <xdr:nvSpPr>
          <xdr:cNvPr id="502" name="E002T"/>
          <xdr:cNvSpPr txBox="1"/>
        </xdr:nvSpPr>
        <xdr:spPr>
          <a:xfrm>
            <a:off x="1343025" y="2110432"/>
            <a:ext cx="841641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4.// Modify Recipe</a:t>
            </a:r>
          </a:p>
        </xdr:txBody>
      </xdr:sp>
    </xdr:grpSp>
    <xdr:clientData/>
  </xdr:twoCellAnchor>
  <xdr:twoCellAnchor>
    <xdr:from>
      <xdr:col>0</xdr:col>
      <xdr:colOff>1214682</xdr:colOff>
      <xdr:row>7</xdr:row>
      <xdr:rowOff>133868</xdr:rowOff>
    </xdr:from>
    <xdr:to>
      <xdr:col>2</xdr:col>
      <xdr:colOff>71682</xdr:colOff>
      <xdr:row>8</xdr:row>
      <xdr:rowOff>23686</xdr:rowOff>
    </xdr:to>
    <xdr:grpSp>
      <xdr:nvGrpSpPr>
        <xdr:cNvPr id="503" name="E003"/>
        <xdr:cNvGrpSpPr/>
      </xdr:nvGrpSpPr>
      <xdr:grpSpPr>
        <a:xfrm>
          <a:off x="1214682" y="2384149"/>
          <a:ext cx="1404938" cy="211287"/>
          <a:chOff x="1209675" y="2434282"/>
          <a:chExt cx="1409700" cy="213668"/>
        </a:xfrm>
      </xdr:grpSpPr>
      <xdr:sp macro="Mov005_Click" textlink="">
        <xdr:nvSpPr>
          <xdr:cNvPr id="504" name="E003L"/>
          <xdr:cNvSpPr/>
        </xdr:nvSpPr>
        <xdr:spPr bwMode="auto">
          <a:xfrm>
            <a:off x="1209675" y="253365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5_Click" textlink="">
        <xdr:nvSpPr>
          <xdr:cNvPr id="505" name="E003R"/>
          <xdr:cNvSpPr/>
        </xdr:nvSpPr>
        <xdr:spPr bwMode="auto">
          <a:xfrm>
            <a:off x="2486025" y="25336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5_Click">
        <xdr:nvCxnSpPr>
          <xdr:cNvPr id="506" name="E003C"/>
          <xdr:cNvCxnSpPr>
            <a:stCxn id="504" idx="3"/>
            <a:endCxn id="505" idx="1"/>
          </xdr:cNvCxnSpPr>
        </xdr:nvCxnSpPr>
        <xdr:spPr bwMode="auto">
          <a:xfrm>
            <a:off x="1343025" y="25908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05_Click" textlink="">
        <xdr:nvSpPr>
          <xdr:cNvPr id="507" name="E003T"/>
          <xdr:cNvSpPr txBox="1"/>
        </xdr:nvSpPr>
        <xdr:spPr>
          <a:xfrm>
            <a:off x="1343025" y="2434282"/>
            <a:ext cx="835870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5.// Delete Recipe</a:t>
            </a:r>
          </a:p>
        </xdr:txBody>
      </xdr:sp>
    </xdr:grpSp>
    <xdr:clientData/>
  </xdr:twoCellAnchor>
  <xdr:twoCellAnchor>
    <xdr:from>
      <xdr:col>0</xdr:col>
      <xdr:colOff>1214682</xdr:colOff>
      <xdr:row>8</xdr:row>
      <xdr:rowOff>133868</xdr:rowOff>
    </xdr:from>
    <xdr:to>
      <xdr:col>2</xdr:col>
      <xdr:colOff>71682</xdr:colOff>
      <xdr:row>9</xdr:row>
      <xdr:rowOff>23686</xdr:rowOff>
    </xdr:to>
    <xdr:grpSp>
      <xdr:nvGrpSpPr>
        <xdr:cNvPr id="508" name="X001"/>
        <xdr:cNvGrpSpPr/>
      </xdr:nvGrpSpPr>
      <xdr:grpSpPr>
        <a:xfrm>
          <a:off x="1214682" y="2705618"/>
          <a:ext cx="1404938" cy="211287"/>
          <a:chOff x="1209675" y="2758132"/>
          <a:chExt cx="1409700" cy="213668"/>
        </a:xfrm>
      </xdr:grpSpPr>
      <xdr:sp macro="Mov006_Click" textlink="">
        <xdr:nvSpPr>
          <xdr:cNvPr id="509" name="X001L"/>
          <xdr:cNvSpPr/>
        </xdr:nvSpPr>
        <xdr:spPr bwMode="auto">
          <a:xfrm>
            <a:off x="2486025" y="285750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6_Click" textlink="">
        <xdr:nvSpPr>
          <xdr:cNvPr id="510" name="X001R"/>
          <xdr:cNvSpPr/>
        </xdr:nvSpPr>
        <xdr:spPr bwMode="auto">
          <a:xfrm>
            <a:off x="1209675" y="28575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6_Click">
        <xdr:nvCxnSpPr>
          <xdr:cNvPr id="511" name="X001C"/>
          <xdr:cNvCxnSpPr>
            <a:stCxn id="509" idx="1"/>
            <a:endCxn id="510" idx="3"/>
          </xdr:cNvCxnSpPr>
        </xdr:nvCxnSpPr>
        <xdr:spPr bwMode="auto">
          <a:xfrm flipH="1">
            <a:off x="1343025" y="29146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06_Click" textlink="">
        <xdr:nvSpPr>
          <xdr:cNvPr id="512" name="X001T"/>
          <xdr:cNvSpPr txBox="1"/>
        </xdr:nvSpPr>
        <xdr:spPr>
          <a:xfrm>
            <a:off x="1691128" y="2758132"/>
            <a:ext cx="794962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6.// Show Recipe</a:t>
            </a:r>
          </a:p>
        </xdr:txBody>
      </xdr:sp>
    </xdr:grpSp>
    <xdr:clientData/>
  </xdr:twoCellAnchor>
  <xdr:twoCellAnchor>
    <xdr:from>
      <xdr:col>0</xdr:col>
      <xdr:colOff>1214682</xdr:colOff>
      <xdr:row>9</xdr:row>
      <xdr:rowOff>133868</xdr:rowOff>
    </xdr:from>
    <xdr:to>
      <xdr:col>2</xdr:col>
      <xdr:colOff>71682</xdr:colOff>
      <xdr:row>10</xdr:row>
      <xdr:rowOff>23686</xdr:rowOff>
    </xdr:to>
    <xdr:grpSp>
      <xdr:nvGrpSpPr>
        <xdr:cNvPr id="513" name="X002"/>
        <xdr:cNvGrpSpPr/>
      </xdr:nvGrpSpPr>
      <xdr:grpSpPr>
        <a:xfrm>
          <a:off x="1214682" y="3027087"/>
          <a:ext cx="1404938" cy="211287"/>
          <a:chOff x="1209675" y="3081982"/>
          <a:chExt cx="1409700" cy="213668"/>
        </a:xfrm>
      </xdr:grpSpPr>
      <xdr:sp macro="Mov007_Click" textlink="">
        <xdr:nvSpPr>
          <xdr:cNvPr id="514" name="X002L"/>
          <xdr:cNvSpPr/>
        </xdr:nvSpPr>
        <xdr:spPr bwMode="auto">
          <a:xfrm>
            <a:off x="2486025" y="318135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7_Click" textlink="">
        <xdr:nvSpPr>
          <xdr:cNvPr id="515" name="X002R"/>
          <xdr:cNvSpPr/>
        </xdr:nvSpPr>
        <xdr:spPr bwMode="auto">
          <a:xfrm>
            <a:off x="1209675" y="31813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7_Click">
        <xdr:nvCxnSpPr>
          <xdr:cNvPr id="516" name="X002C"/>
          <xdr:cNvCxnSpPr>
            <a:stCxn id="514" idx="1"/>
            <a:endCxn id="515" idx="3"/>
          </xdr:cNvCxnSpPr>
        </xdr:nvCxnSpPr>
        <xdr:spPr bwMode="auto">
          <a:xfrm flipH="1">
            <a:off x="1343025" y="32385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07_Click" textlink="">
        <xdr:nvSpPr>
          <xdr:cNvPr id="517" name="X002T"/>
          <xdr:cNvSpPr txBox="1"/>
        </xdr:nvSpPr>
        <xdr:spPr>
          <a:xfrm>
            <a:off x="1533392" y="3081982"/>
            <a:ext cx="952698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7.// Recipe Statistics</a:t>
            </a:r>
          </a:p>
        </xdr:txBody>
      </xdr:sp>
    </xdr:grpSp>
    <xdr:clientData/>
  </xdr:twoCellAnchor>
  <xdr:twoCellAnchor>
    <xdr:from>
      <xdr:col>0</xdr:col>
      <xdr:colOff>1214682</xdr:colOff>
      <xdr:row>10</xdr:row>
      <xdr:rowOff>133868</xdr:rowOff>
    </xdr:from>
    <xdr:to>
      <xdr:col>2</xdr:col>
      <xdr:colOff>71682</xdr:colOff>
      <xdr:row>11</xdr:row>
      <xdr:rowOff>23686</xdr:rowOff>
    </xdr:to>
    <xdr:grpSp>
      <xdr:nvGrpSpPr>
        <xdr:cNvPr id="518" name="E004"/>
        <xdr:cNvGrpSpPr/>
      </xdr:nvGrpSpPr>
      <xdr:grpSpPr>
        <a:xfrm>
          <a:off x="1214682" y="3348556"/>
          <a:ext cx="1404938" cy="211286"/>
          <a:chOff x="1209675" y="3405832"/>
          <a:chExt cx="1409700" cy="213668"/>
        </a:xfrm>
      </xdr:grpSpPr>
      <xdr:sp macro="Mov008_Click" textlink="">
        <xdr:nvSpPr>
          <xdr:cNvPr id="519" name="E004L"/>
          <xdr:cNvSpPr/>
        </xdr:nvSpPr>
        <xdr:spPr bwMode="auto">
          <a:xfrm>
            <a:off x="1209675" y="35052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8_Click" textlink="">
        <xdr:nvSpPr>
          <xdr:cNvPr id="520" name="E004R"/>
          <xdr:cNvSpPr/>
        </xdr:nvSpPr>
        <xdr:spPr bwMode="auto">
          <a:xfrm>
            <a:off x="2486025" y="35052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8_Click">
        <xdr:nvCxnSpPr>
          <xdr:cNvPr id="521" name="E004C"/>
          <xdr:cNvCxnSpPr>
            <a:stCxn id="519" idx="3"/>
            <a:endCxn id="520" idx="1"/>
          </xdr:cNvCxnSpPr>
        </xdr:nvCxnSpPr>
        <xdr:spPr bwMode="auto">
          <a:xfrm>
            <a:off x="1343025" y="35623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08_Click" textlink="">
        <xdr:nvSpPr>
          <xdr:cNvPr id="522" name="E004T"/>
          <xdr:cNvSpPr txBox="1"/>
        </xdr:nvSpPr>
        <xdr:spPr>
          <a:xfrm>
            <a:off x="1343025" y="3405832"/>
            <a:ext cx="865109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8.// Search Recipe</a:t>
            </a:r>
          </a:p>
        </xdr:txBody>
      </xdr:sp>
    </xdr:grpSp>
    <xdr:clientData/>
  </xdr:twoCellAnchor>
  <xdr:twoCellAnchor>
    <xdr:from>
      <xdr:col>0</xdr:col>
      <xdr:colOff>85725</xdr:colOff>
      <xdr:row>7</xdr:row>
      <xdr:rowOff>204661</xdr:rowOff>
    </xdr:from>
    <xdr:to>
      <xdr:col>0</xdr:col>
      <xdr:colOff>546588</xdr:colOff>
      <xdr:row>9</xdr:row>
      <xdr:rowOff>272371</xdr:rowOff>
    </xdr:to>
    <xdr:grpSp>
      <xdr:nvGrpSpPr>
        <xdr:cNvPr id="523" name="T02"/>
        <xdr:cNvGrpSpPr/>
      </xdr:nvGrpSpPr>
      <xdr:grpSpPr>
        <a:xfrm>
          <a:off x="85725" y="2454942"/>
          <a:ext cx="460863" cy="710648"/>
          <a:chOff x="80718" y="2505075"/>
          <a:chExt cx="460863" cy="715410"/>
        </a:xfrm>
      </xdr:grpSpPr>
      <xdr:sp macro="Trg008_Click" textlink="">
        <xdr:nvSpPr>
          <xdr:cNvPr id="524" name="T02S"/>
          <xdr:cNvSpPr/>
        </xdr:nvSpPr>
        <xdr:spPr bwMode="auto">
          <a:xfrm>
            <a:off x="85725" y="250507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08_Click" textlink="">
        <xdr:nvSpPr>
          <xdr:cNvPr id="525" name="T02T"/>
          <xdr:cNvSpPr txBox="1"/>
        </xdr:nvSpPr>
        <xdr:spPr>
          <a:xfrm>
            <a:off x="80718" y="295592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Search</a:t>
            </a:r>
          </a:p>
        </xdr:txBody>
      </xdr:sp>
    </xdr:grpSp>
    <xdr:clientData/>
  </xdr:twoCellAnchor>
  <xdr:twoCellAnchor>
    <xdr:from>
      <xdr:col>0</xdr:col>
      <xdr:colOff>316157</xdr:colOff>
      <xdr:row>9</xdr:row>
      <xdr:rowOff>272370</xdr:rowOff>
    </xdr:from>
    <xdr:to>
      <xdr:col>0</xdr:col>
      <xdr:colOff>1214682</xdr:colOff>
      <xdr:row>10</xdr:row>
      <xdr:rowOff>288640</xdr:rowOff>
    </xdr:to>
    <xdr:cxnSp macro="">
      <xdr:nvCxnSpPr>
        <xdr:cNvPr id="526" name="T02C"/>
        <xdr:cNvCxnSpPr>
          <a:stCxn id="525" idx="2"/>
          <a:endCxn id="519" idx="1"/>
        </xdr:cNvCxnSpPr>
      </xdr:nvCxnSpPr>
      <xdr:spPr bwMode="auto">
        <a:xfrm rot="16200000" flipH="1">
          <a:off x="596550" y="2885196"/>
          <a:ext cx="337739" cy="898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</xdr:col>
      <xdr:colOff>1214682</xdr:colOff>
      <xdr:row>11</xdr:row>
      <xdr:rowOff>133868</xdr:rowOff>
    </xdr:from>
    <xdr:to>
      <xdr:col>4</xdr:col>
      <xdr:colOff>71682</xdr:colOff>
      <xdr:row>12</xdr:row>
      <xdr:rowOff>23686</xdr:rowOff>
    </xdr:to>
    <xdr:grpSp>
      <xdr:nvGrpSpPr>
        <xdr:cNvPr id="527" name="X003"/>
        <xdr:cNvGrpSpPr/>
      </xdr:nvGrpSpPr>
      <xdr:grpSpPr>
        <a:xfrm>
          <a:off x="2488651" y="3670024"/>
          <a:ext cx="2678906" cy="211287"/>
          <a:chOff x="2486025" y="3729682"/>
          <a:chExt cx="2686050" cy="213668"/>
        </a:xfrm>
      </xdr:grpSpPr>
      <xdr:sp macro="Mov009_Click" textlink="">
        <xdr:nvSpPr>
          <xdr:cNvPr id="528" name="X003L"/>
          <xdr:cNvSpPr/>
        </xdr:nvSpPr>
        <xdr:spPr bwMode="auto">
          <a:xfrm>
            <a:off x="2486025" y="3829050"/>
            <a:ext cx="133350" cy="114300"/>
          </a:xfrm>
          <a:prstGeom prst="diamond">
            <a:avLst/>
          </a:prstGeom>
          <a:solidFill>
            <a:srgbClr val="9BBB5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09_Click" textlink="">
        <xdr:nvSpPr>
          <xdr:cNvPr id="529" name="X003R"/>
          <xdr:cNvSpPr/>
        </xdr:nvSpPr>
        <xdr:spPr bwMode="auto">
          <a:xfrm>
            <a:off x="5038725" y="38290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09_Click">
        <xdr:nvCxnSpPr>
          <xdr:cNvPr id="530" name="X003C"/>
          <xdr:cNvCxnSpPr>
            <a:stCxn id="528" idx="3"/>
            <a:endCxn id="529" idx="1"/>
          </xdr:cNvCxnSpPr>
        </xdr:nvCxnSpPr>
        <xdr:spPr bwMode="auto">
          <a:xfrm>
            <a:off x="2619375" y="3886200"/>
            <a:ext cx="24193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BBB59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09_Click" textlink="">
        <xdr:nvSpPr>
          <xdr:cNvPr id="531" name="X003T"/>
          <xdr:cNvSpPr txBox="1"/>
        </xdr:nvSpPr>
        <xdr:spPr>
          <a:xfrm>
            <a:off x="2619375" y="3729682"/>
            <a:ext cx="865109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9.// Search Recipe</a:t>
            </a:r>
          </a:p>
        </xdr:txBody>
      </xdr:sp>
    </xdr:grpSp>
    <xdr:clientData/>
  </xdr:twoCellAnchor>
  <xdr:twoCellAnchor>
    <xdr:from>
      <xdr:col>1</xdr:col>
      <xdr:colOff>1214682</xdr:colOff>
      <xdr:row>12</xdr:row>
      <xdr:rowOff>133868</xdr:rowOff>
    </xdr:from>
    <xdr:to>
      <xdr:col>4</xdr:col>
      <xdr:colOff>71682</xdr:colOff>
      <xdr:row>13</xdr:row>
      <xdr:rowOff>23686</xdr:rowOff>
    </xdr:to>
    <xdr:grpSp>
      <xdr:nvGrpSpPr>
        <xdr:cNvPr id="532" name="E005"/>
        <xdr:cNvGrpSpPr/>
      </xdr:nvGrpSpPr>
      <xdr:grpSpPr>
        <a:xfrm>
          <a:off x="2488651" y="3991493"/>
          <a:ext cx="2678906" cy="211287"/>
          <a:chOff x="2486025" y="4053532"/>
          <a:chExt cx="2686050" cy="213668"/>
        </a:xfrm>
      </xdr:grpSpPr>
      <xdr:sp macro="Mov010_Click" textlink="">
        <xdr:nvSpPr>
          <xdr:cNvPr id="533" name="E005L"/>
          <xdr:cNvSpPr/>
        </xdr:nvSpPr>
        <xdr:spPr bwMode="auto">
          <a:xfrm>
            <a:off x="5038725" y="4152900"/>
            <a:ext cx="133350" cy="114300"/>
          </a:xfrm>
          <a:prstGeom prst="diamond">
            <a:avLst/>
          </a:prstGeom>
          <a:solidFill>
            <a:srgbClr val="4F6228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0_Click" textlink="">
        <xdr:nvSpPr>
          <xdr:cNvPr id="534" name="E005R"/>
          <xdr:cNvSpPr/>
        </xdr:nvSpPr>
        <xdr:spPr bwMode="auto">
          <a:xfrm>
            <a:off x="2486025" y="41529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0_Click">
        <xdr:nvCxnSpPr>
          <xdr:cNvPr id="535" name="E005C"/>
          <xdr:cNvCxnSpPr>
            <a:stCxn id="533" idx="1"/>
            <a:endCxn id="534" idx="3"/>
          </xdr:cNvCxnSpPr>
        </xdr:nvCxnSpPr>
        <xdr:spPr bwMode="auto">
          <a:xfrm flipH="1">
            <a:off x="2619375" y="4210050"/>
            <a:ext cx="24193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F6228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10_Click" textlink="">
        <xdr:nvSpPr>
          <xdr:cNvPr id="536" name="E005T"/>
          <xdr:cNvSpPr txBox="1"/>
        </xdr:nvSpPr>
        <xdr:spPr>
          <a:xfrm>
            <a:off x="3969137" y="4053532"/>
            <a:ext cx="1069653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10.// Matching Recipes</a:t>
            </a:r>
          </a:p>
        </xdr:txBody>
      </xdr:sp>
    </xdr:grpSp>
    <xdr:clientData/>
  </xdr:twoCellAnchor>
  <xdr:twoCellAnchor>
    <xdr:from>
      <xdr:col>0</xdr:col>
      <xdr:colOff>1214682</xdr:colOff>
      <xdr:row>13</xdr:row>
      <xdr:rowOff>133868</xdr:rowOff>
    </xdr:from>
    <xdr:to>
      <xdr:col>2</xdr:col>
      <xdr:colOff>71682</xdr:colOff>
      <xdr:row>14</xdr:row>
      <xdr:rowOff>23686</xdr:rowOff>
    </xdr:to>
    <xdr:grpSp>
      <xdr:nvGrpSpPr>
        <xdr:cNvPr id="537" name="X004"/>
        <xdr:cNvGrpSpPr/>
      </xdr:nvGrpSpPr>
      <xdr:grpSpPr>
        <a:xfrm>
          <a:off x="1214682" y="4312962"/>
          <a:ext cx="1404938" cy="211287"/>
          <a:chOff x="1209675" y="4377382"/>
          <a:chExt cx="1409700" cy="213668"/>
        </a:xfrm>
      </xdr:grpSpPr>
      <xdr:sp macro="Mov011_Click" textlink="">
        <xdr:nvSpPr>
          <xdr:cNvPr id="538" name="X004L"/>
          <xdr:cNvSpPr/>
        </xdr:nvSpPr>
        <xdr:spPr bwMode="auto">
          <a:xfrm>
            <a:off x="2486025" y="447675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1_Click" textlink="">
        <xdr:nvSpPr>
          <xdr:cNvPr id="539" name="X004R"/>
          <xdr:cNvSpPr/>
        </xdr:nvSpPr>
        <xdr:spPr bwMode="auto">
          <a:xfrm>
            <a:off x="1209675" y="44767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1_Click">
        <xdr:nvCxnSpPr>
          <xdr:cNvPr id="540" name="X004C"/>
          <xdr:cNvCxnSpPr>
            <a:stCxn id="538" idx="1"/>
            <a:endCxn id="539" idx="3"/>
          </xdr:cNvCxnSpPr>
        </xdr:nvCxnSpPr>
        <xdr:spPr bwMode="auto">
          <a:xfrm flipH="1">
            <a:off x="1343025" y="45339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1_Click" textlink="">
        <xdr:nvSpPr>
          <xdr:cNvPr id="541" name="X004T"/>
          <xdr:cNvSpPr txBox="1"/>
        </xdr:nvSpPr>
        <xdr:spPr>
          <a:xfrm>
            <a:off x="1451447" y="4377382"/>
            <a:ext cx="1034643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11.// Propose Recipes</a:t>
            </a:r>
          </a:p>
        </xdr:txBody>
      </xdr:sp>
    </xdr:grpSp>
    <xdr:clientData/>
  </xdr:twoCellAnchor>
  <xdr:twoCellAnchor>
    <xdr:from>
      <xdr:col>0</xdr:col>
      <xdr:colOff>1214682</xdr:colOff>
      <xdr:row>14</xdr:row>
      <xdr:rowOff>133868</xdr:rowOff>
    </xdr:from>
    <xdr:to>
      <xdr:col>2</xdr:col>
      <xdr:colOff>71682</xdr:colOff>
      <xdr:row>15</xdr:row>
      <xdr:rowOff>23686</xdr:rowOff>
    </xdr:to>
    <xdr:grpSp>
      <xdr:nvGrpSpPr>
        <xdr:cNvPr id="542" name="E006"/>
        <xdr:cNvGrpSpPr/>
      </xdr:nvGrpSpPr>
      <xdr:grpSpPr>
        <a:xfrm>
          <a:off x="1214682" y="4634431"/>
          <a:ext cx="1404938" cy="211286"/>
          <a:chOff x="1209675" y="4701232"/>
          <a:chExt cx="1409700" cy="213668"/>
        </a:xfrm>
      </xdr:grpSpPr>
      <xdr:sp macro="Mov012_Click" textlink="">
        <xdr:nvSpPr>
          <xdr:cNvPr id="543" name="E006L"/>
          <xdr:cNvSpPr/>
        </xdr:nvSpPr>
        <xdr:spPr bwMode="auto">
          <a:xfrm>
            <a:off x="1209675" y="48006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2_Click" textlink="">
        <xdr:nvSpPr>
          <xdr:cNvPr id="544" name="E006R"/>
          <xdr:cNvSpPr/>
        </xdr:nvSpPr>
        <xdr:spPr bwMode="auto">
          <a:xfrm>
            <a:off x="2486025" y="48006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2_Click">
        <xdr:nvCxnSpPr>
          <xdr:cNvPr id="545" name="E006C"/>
          <xdr:cNvCxnSpPr>
            <a:stCxn id="543" idx="3"/>
            <a:endCxn id="544" idx="1"/>
          </xdr:cNvCxnSpPr>
        </xdr:nvCxnSpPr>
        <xdr:spPr bwMode="auto">
          <a:xfrm>
            <a:off x="1343025" y="48577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2_Click" textlink="">
        <xdr:nvSpPr>
          <xdr:cNvPr id="546" name="E006T"/>
          <xdr:cNvSpPr txBox="1"/>
        </xdr:nvSpPr>
        <xdr:spPr>
          <a:xfrm>
            <a:off x="1343025" y="4701232"/>
            <a:ext cx="935256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12.// Select Recipes</a:t>
            </a:r>
          </a:p>
        </xdr:txBody>
      </xdr:sp>
    </xdr:grpSp>
    <xdr:clientData/>
  </xdr:twoCellAnchor>
  <xdr:twoCellAnchor>
    <xdr:from>
      <xdr:col>1</xdr:col>
      <xdr:colOff>1214682</xdr:colOff>
      <xdr:row>15</xdr:row>
      <xdr:rowOff>133868</xdr:rowOff>
    </xdr:from>
    <xdr:to>
      <xdr:col>3</xdr:col>
      <xdr:colOff>71682</xdr:colOff>
      <xdr:row>16</xdr:row>
      <xdr:rowOff>23686</xdr:rowOff>
    </xdr:to>
    <xdr:grpSp>
      <xdr:nvGrpSpPr>
        <xdr:cNvPr id="547" name="W002"/>
        <xdr:cNvGrpSpPr/>
      </xdr:nvGrpSpPr>
      <xdr:grpSpPr>
        <a:xfrm>
          <a:off x="2488651" y="4955899"/>
          <a:ext cx="1404937" cy="211287"/>
          <a:chOff x="2486025" y="5025082"/>
          <a:chExt cx="1409700" cy="213668"/>
        </a:xfrm>
      </xdr:grpSpPr>
      <xdr:sp macro="Mov013_Click" textlink="">
        <xdr:nvSpPr>
          <xdr:cNvPr id="548" name="W002L"/>
          <xdr:cNvSpPr/>
        </xdr:nvSpPr>
        <xdr:spPr bwMode="auto">
          <a:xfrm>
            <a:off x="2486025" y="512445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3_Click" textlink="">
        <xdr:nvSpPr>
          <xdr:cNvPr id="549" name="W002R"/>
          <xdr:cNvSpPr/>
        </xdr:nvSpPr>
        <xdr:spPr bwMode="auto">
          <a:xfrm>
            <a:off x="3762375" y="51244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3_Click">
        <xdr:nvCxnSpPr>
          <xdr:cNvPr id="550" name="W002C"/>
          <xdr:cNvCxnSpPr>
            <a:stCxn id="548" idx="3"/>
            <a:endCxn id="549" idx="1"/>
          </xdr:cNvCxnSpPr>
        </xdr:nvCxnSpPr>
        <xdr:spPr bwMode="auto">
          <a:xfrm>
            <a:off x="2619375" y="51816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3_Click" textlink="">
        <xdr:nvSpPr>
          <xdr:cNvPr id="551" name="W002T"/>
          <xdr:cNvSpPr txBox="1"/>
        </xdr:nvSpPr>
        <xdr:spPr>
          <a:xfrm>
            <a:off x="2619375" y="5025082"/>
            <a:ext cx="894347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13.// Store Recipes</a:t>
            </a:r>
          </a:p>
        </xdr:txBody>
      </xdr:sp>
    </xdr:grpSp>
    <xdr:clientData/>
  </xdr:twoCellAnchor>
  <xdr:twoCellAnchor>
    <xdr:from>
      <xdr:col>1</xdr:col>
      <xdr:colOff>1214682</xdr:colOff>
      <xdr:row>16</xdr:row>
      <xdr:rowOff>133868</xdr:rowOff>
    </xdr:from>
    <xdr:to>
      <xdr:col>3</xdr:col>
      <xdr:colOff>71682</xdr:colOff>
      <xdr:row>17</xdr:row>
      <xdr:rowOff>23686</xdr:rowOff>
    </xdr:to>
    <xdr:grpSp>
      <xdr:nvGrpSpPr>
        <xdr:cNvPr id="552" name="R002"/>
        <xdr:cNvGrpSpPr/>
      </xdr:nvGrpSpPr>
      <xdr:grpSpPr>
        <a:xfrm>
          <a:off x="2488651" y="5277368"/>
          <a:ext cx="1404937" cy="211287"/>
          <a:chOff x="2486025" y="5348932"/>
          <a:chExt cx="1409700" cy="213668"/>
        </a:xfrm>
      </xdr:grpSpPr>
      <xdr:sp macro="Mov014_Click" textlink="">
        <xdr:nvSpPr>
          <xdr:cNvPr id="553" name="R002L"/>
          <xdr:cNvSpPr/>
        </xdr:nvSpPr>
        <xdr:spPr bwMode="auto">
          <a:xfrm>
            <a:off x="3762375" y="544830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4_Click" textlink="">
        <xdr:nvSpPr>
          <xdr:cNvPr id="554" name="R002R"/>
          <xdr:cNvSpPr/>
        </xdr:nvSpPr>
        <xdr:spPr bwMode="auto">
          <a:xfrm>
            <a:off x="2486025" y="54483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4_Click">
        <xdr:nvCxnSpPr>
          <xdr:cNvPr id="555" name="R002C"/>
          <xdr:cNvCxnSpPr>
            <a:stCxn id="553" idx="1"/>
            <a:endCxn id="554" idx="3"/>
          </xdr:cNvCxnSpPr>
        </xdr:nvCxnSpPr>
        <xdr:spPr bwMode="auto">
          <a:xfrm flipH="1">
            <a:off x="2619375" y="55054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4_Click" textlink="">
        <xdr:nvSpPr>
          <xdr:cNvPr id="556" name="R002T"/>
          <xdr:cNvSpPr txBox="1"/>
        </xdr:nvSpPr>
        <xdr:spPr>
          <a:xfrm>
            <a:off x="2768834" y="5348932"/>
            <a:ext cx="993606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14.// Browse Recipes</a:t>
            </a:r>
          </a:p>
        </xdr:txBody>
      </xdr:sp>
    </xdr:grpSp>
    <xdr:clientData/>
  </xdr:twoCellAnchor>
  <xdr:twoCellAnchor>
    <xdr:from>
      <xdr:col>0</xdr:col>
      <xdr:colOff>1214682</xdr:colOff>
      <xdr:row>17</xdr:row>
      <xdr:rowOff>133868</xdr:rowOff>
    </xdr:from>
    <xdr:to>
      <xdr:col>2</xdr:col>
      <xdr:colOff>71682</xdr:colOff>
      <xdr:row>18</xdr:row>
      <xdr:rowOff>23686</xdr:rowOff>
    </xdr:to>
    <xdr:grpSp>
      <xdr:nvGrpSpPr>
        <xdr:cNvPr id="557" name="X005"/>
        <xdr:cNvGrpSpPr/>
      </xdr:nvGrpSpPr>
      <xdr:grpSpPr>
        <a:xfrm>
          <a:off x="1214682" y="5598837"/>
          <a:ext cx="1404938" cy="211287"/>
          <a:chOff x="1209675" y="5672782"/>
          <a:chExt cx="1409700" cy="213668"/>
        </a:xfrm>
      </xdr:grpSpPr>
      <xdr:sp macro="Mov015_Click" textlink="">
        <xdr:nvSpPr>
          <xdr:cNvPr id="558" name="X005L"/>
          <xdr:cNvSpPr/>
        </xdr:nvSpPr>
        <xdr:spPr bwMode="auto">
          <a:xfrm>
            <a:off x="2486025" y="577215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5_Click" textlink="">
        <xdr:nvSpPr>
          <xdr:cNvPr id="559" name="X005R"/>
          <xdr:cNvSpPr/>
        </xdr:nvSpPr>
        <xdr:spPr bwMode="auto">
          <a:xfrm>
            <a:off x="1209675" y="57721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5_Click">
        <xdr:nvCxnSpPr>
          <xdr:cNvPr id="560" name="X005C"/>
          <xdr:cNvCxnSpPr>
            <a:stCxn id="558" idx="1"/>
            <a:endCxn id="559" idx="3"/>
          </xdr:cNvCxnSpPr>
        </xdr:nvCxnSpPr>
        <xdr:spPr bwMode="auto">
          <a:xfrm flipH="1">
            <a:off x="1343025" y="58293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5_Click" textlink="">
        <xdr:nvSpPr>
          <xdr:cNvPr id="561" name="X005T"/>
          <xdr:cNvSpPr txBox="1"/>
        </xdr:nvSpPr>
        <xdr:spPr>
          <a:xfrm>
            <a:off x="1580072" y="5672782"/>
            <a:ext cx="906018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15.// Show Recipes</a:t>
            </a:r>
          </a:p>
        </xdr:txBody>
      </xdr:sp>
    </xdr:grpSp>
    <xdr:clientData/>
  </xdr:twoCellAnchor>
  <xdr:twoCellAnchor>
    <xdr:from>
      <xdr:col>0</xdr:col>
      <xdr:colOff>1214682</xdr:colOff>
      <xdr:row>18</xdr:row>
      <xdr:rowOff>133868</xdr:rowOff>
    </xdr:from>
    <xdr:to>
      <xdr:col>5</xdr:col>
      <xdr:colOff>71682</xdr:colOff>
      <xdr:row>19</xdr:row>
      <xdr:rowOff>23686</xdr:rowOff>
    </xdr:to>
    <xdr:grpSp>
      <xdr:nvGrpSpPr>
        <xdr:cNvPr id="562" name="E007"/>
        <xdr:cNvGrpSpPr/>
      </xdr:nvGrpSpPr>
      <xdr:grpSpPr>
        <a:xfrm>
          <a:off x="1214682" y="5920306"/>
          <a:ext cx="5226844" cy="211286"/>
          <a:chOff x="1209675" y="5996632"/>
          <a:chExt cx="5238750" cy="213668"/>
        </a:xfrm>
      </xdr:grpSpPr>
      <xdr:sp macro="Mov016_Click" textlink="">
        <xdr:nvSpPr>
          <xdr:cNvPr id="563" name="E007L"/>
          <xdr:cNvSpPr/>
        </xdr:nvSpPr>
        <xdr:spPr bwMode="auto">
          <a:xfrm>
            <a:off x="1209675" y="60960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6_Click" textlink="">
        <xdr:nvSpPr>
          <xdr:cNvPr id="564" name="E007R"/>
          <xdr:cNvSpPr/>
        </xdr:nvSpPr>
        <xdr:spPr bwMode="auto">
          <a:xfrm>
            <a:off x="6315075" y="60960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6_Click">
        <xdr:nvCxnSpPr>
          <xdr:cNvPr id="565" name="E007C"/>
          <xdr:cNvCxnSpPr>
            <a:stCxn id="563" idx="3"/>
            <a:endCxn id="564" idx="1"/>
          </xdr:cNvCxnSpPr>
        </xdr:nvCxnSpPr>
        <xdr:spPr bwMode="auto">
          <a:xfrm>
            <a:off x="1343025" y="6153150"/>
            <a:ext cx="49720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6_Click" textlink="">
        <xdr:nvSpPr>
          <xdr:cNvPr id="566" name="E007T"/>
          <xdr:cNvSpPr txBox="1"/>
        </xdr:nvSpPr>
        <xdr:spPr>
          <a:xfrm>
            <a:off x="1343025" y="5996632"/>
            <a:ext cx="987963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16.// Search for Food</a:t>
            </a:r>
          </a:p>
        </xdr:txBody>
      </xdr:sp>
    </xdr:grpSp>
    <xdr:clientData/>
  </xdr:twoCellAnchor>
  <xdr:twoCellAnchor>
    <xdr:from>
      <xdr:col>0</xdr:col>
      <xdr:colOff>85725</xdr:colOff>
      <xdr:row>15</xdr:row>
      <xdr:rowOff>204661</xdr:rowOff>
    </xdr:from>
    <xdr:to>
      <xdr:col>0</xdr:col>
      <xdr:colOff>546588</xdr:colOff>
      <xdr:row>17</xdr:row>
      <xdr:rowOff>272371</xdr:rowOff>
    </xdr:to>
    <xdr:grpSp>
      <xdr:nvGrpSpPr>
        <xdr:cNvPr id="567" name="T03"/>
        <xdr:cNvGrpSpPr/>
      </xdr:nvGrpSpPr>
      <xdr:grpSpPr>
        <a:xfrm>
          <a:off x="85725" y="5026692"/>
          <a:ext cx="460863" cy="710648"/>
          <a:chOff x="80718" y="5095875"/>
          <a:chExt cx="460863" cy="715410"/>
        </a:xfrm>
      </xdr:grpSpPr>
      <xdr:sp macro="Trg016_Click" textlink="">
        <xdr:nvSpPr>
          <xdr:cNvPr id="568" name="T03S"/>
          <xdr:cNvSpPr/>
        </xdr:nvSpPr>
        <xdr:spPr bwMode="auto">
          <a:xfrm>
            <a:off x="85725" y="509587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16_Click" textlink="">
        <xdr:nvSpPr>
          <xdr:cNvPr id="569" name="T03T"/>
          <xdr:cNvSpPr txBox="1"/>
        </xdr:nvSpPr>
        <xdr:spPr>
          <a:xfrm>
            <a:off x="80718" y="554672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Food</a:t>
            </a:r>
          </a:p>
        </xdr:txBody>
      </xdr:sp>
    </xdr:grpSp>
    <xdr:clientData/>
  </xdr:twoCellAnchor>
  <xdr:twoCellAnchor>
    <xdr:from>
      <xdr:col>0</xdr:col>
      <xdr:colOff>316157</xdr:colOff>
      <xdr:row>17</xdr:row>
      <xdr:rowOff>272370</xdr:rowOff>
    </xdr:from>
    <xdr:to>
      <xdr:col>0</xdr:col>
      <xdr:colOff>1214682</xdr:colOff>
      <xdr:row>18</xdr:row>
      <xdr:rowOff>288640</xdr:rowOff>
    </xdr:to>
    <xdr:cxnSp macro="">
      <xdr:nvCxnSpPr>
        <xdr:cNvPr id="570" name="T03C"/>
        <xdr:cNvCxnSpPr>
          <a:stCxn id="569" idx="2"/>
          <a:endCxn id="563" idx="1"/>
        </xdr:cNvCxnSpPr>
      </xdr:nvCxnSpPr>
      <xdr:spPr bwMode="auto">
        <a:xfrm rot="16200000" flipH="1">
          <a:off x="596550" y="5456946"/>
          <a:ext cx="337739" cy="898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1214682</xdr:colOff>
      <xdr:row>19</xdr:row>
      <xdr:rowOff>133868</xdr:rowOff>
    </xdr:from>
    <xdr:to>
      <xdr:col>6</xdr:col>
      <xdr:colOff>71682</xdr:colOff>
      <xdr:row>20</xdr:row>
      <xdr:rowOff>23686</xdr:rowOff>
    </xdr:to>
    <xdr:grpSp>
      <xdr:nvGrpSpPr>
        <xdr:cNvPr id="571" name="W003"/>
        <xdr:cNvGrpSpPr/>
      </xdr:nvGrpSpPr>
      <xdr:grpSpPr>
        <a:xfrm>
          <a:off x="6310557" y="6241774"/>
          <a:ext cx="1404938" cy="211287"/>
          <a:chOff x="6315075" y="6320482"/>
          <a:chExt cx="1409700" cy="213668"/>
        </a:xfrm>
      </xdr:grpSpPr>
      <xdr:sp macro="Mov017_Click" textlink="">
        <xdr:nvSpPr>
          <xdr:cNvPr id="572" name="W003L"/>
          <xdr:cNvSpPr/>
        </xdr:nvSpPr>
        <xdr:spPr bwMode="auto">
          <a:xfrm>
            <a:off x="6315075" y="641985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7_Click" textlink="">
        <xdr:nvSpPr>
          <xdr:cNvPr id="573" name="W003R"/>
          <xdr:cNvSpPr/>
        </xdr:nvSpPr>
        <xdr:spPr bwMode="auto">
          <a:xfrm>
            <a:off x="7591425" y="64198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7_Click">
        <xdr:nvCxnSpPr>
          <xdr:cNvPr id="574" name="W003C"/>
          <xdr:cNvCxnSpPr>
            <a:stCxn id="572" idx="3"/>
            <a:endCxn id="573" idx="1"/>
          </xdr:cNvCxnSpPr>
        </xdr:nvCxnSpPr>
        <xdr:spPr bwMode="auto">
          <a:xfrm>
            <a:off x="6448425" y="64770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7_Click" textlink="">
        <xdr:nvSpPr>
          <xdr:cNvPr id="575" name="W003T"/>
          <xdr:cNvSpPr txBox="1"/>
        </xdr:nvSpPr>
        <xdr:spPr>
          <a:xfrm>
            <a:off x="6448425" y="6320482"/>
            <a:ext cx="1122359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17.// Search for Food ID</a:t>
            </a:r>
          </a:p>
        </xdr:txBody>
      </xdr:sp>
    </xdr:grpSp>
    <xdr:clientData/>
  </xdr:twoCellAnchor>
  <xdr:twoCellAnchor>
    <xdr:from>
      <xdr:col>4</xdr:col>
      <xdr:colOff>1214682</xdr:colOff>
      <xdr:row>20</xdr:row>
      <xdr:rowOff>133868</xdr:rowOff>
    </xdr:from>
    <xdr:to>
      <xdr:col>6</xdr:col>
      <xdr:colOff>71682</xdr:colOff>
      <xdr:row>21</xdr:row>
      <xdr:rowOff>23686</xdr:rowOff>
    </xdr:to>
    <xdr:grpSp>
      <xdr:nvGrpSpPr>
        <xdr:cNvPr id="576" name="R003"/>
        <xdr:cNvGrpSpPr/>
      </xdr:nvGrpSpPr>
      <xdr:grpSpPr>
        <a:xfrm>
          <a:off x="6310557" y="6563243"/>
          <a:ext cx="1404938" cy="211287"/>
          <a:chOff x="6315075" y="6644332"/>
          <a:chExt cx="1409700" cy="213668"/>
        </a:xfrm>
      </xdr:grpSpPr>
      <xdr:sp macro="Mov018_Click" textlink="">
        <xdr:nvSpPr>
          <xdr:cNvPr id="577" name="R003L"/>
          <xdr:cNvSpPr/>
        </xdr:nvSpPr>
        <xdr:spPr bwMode="auto">
          <a:xfrm>
            <a:off x="7591425" y="674370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8_Click" textlink="">
        <xdr:nvSpPr>
          <xdr:cNvPr id="578" name="R003R"/>
          <xdr:cNvSpPr/>
        </xdr:nvSpPr>
        <xdr:spPr bwMode="auto">
          <a:xfrm>
            <a:off x="6315075" y="67437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8_Click">
        <xdr:nvCxnSpPr>
          <xdr:cNvPr id="579" name="R003C"/>
          <xdr:cNvCxnSpPr>
            <a:stCxn id="577" idx="1"/>
            <a:endCxn id="578" idx="3"/>
          </xdr:cNvCxnSpPr>
        </xdr:nvCxnSpPr>
        <xdr:spPr bwMode="auto">
          <a:xfrm flipH="1">
            <a:off x="6448425" y="68008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8_Click" textlink="">
        <xdr:nvSpPr>
          <xdr:cNvPr id="580" name="R003T"/>
          <xdr:cNvSpPr txBox="1"/>
        </xdr:nvSpPr>
        <xdr:spPr>
          <a:xfrm>
            <a:off x="6667903" y="6644332"/>
            <a:ext cx="923587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18.// Food ID Match</a:t>
            </a:r>
          </a:p>
        </xdr:txBody>
      </xdr:sp>
    </xdr:grpSp>
    <xdr:clientData/>
  </xdr:twoCellAnchor>
  <xdr:twoCellAnchor>
    <xdr:from>
      <xdr:col>3</xdr:col>
      <xdr:colOff>1214682</xdr:colOff>
      <xdr:row>21</xdr:row>
      <xdr:rowOff>133868</xdr:rowOff>
    </xdr:from>
    <xdr:to>
      <xdr:col>5</xdr:col>
      <xdr:colOff>71682</xdr:colOff>
      <xdr:row>22</xdr:row>
      <xdr:rowOff>23686</xdr:rowOff>
    </xdr:to>
    <xdr:grpSp>
      <xdr:nvGrpSpPr>
        <xdr:cNvPr id="581" name="E008"/>
        <xdr:cNvGrpSpPr/>
      </xdr:nvGrpSpPr>
      <xdr:grpSpPr>
        <a:xfrm>
          <a:off x="5036588" y="6884712"/>
          <a:ext cx="1404938" cy="211287"/>
          <a:chOff x="5038725" y="6968182"/>
          <a:chExt cx="1409700" cy="213668"/>
        </a:xfrm>
      </xdr:grpSpPr>
      <xdr:sp macro="Mov019_Click" textlink="">
        <xdr:nvSpPr>
          <xdr:cNvPr id="582" name="E008L"/>
          <xdr:cNvSpPr/>
        </xdr:nvSpPr>
        <xdr:spPr bwMode="auto">
          <a:xfrm>
            <a:off x="5038725" y="7067550"/>
            <a:ext cx="133350" cy="114300"/>
          </a:xfrm>
          <a:prstGeom prst="diamond">
            <a:avLst/>
          </a:prstGeom>
          <a:solidFill>
            <a:srgbClr val="4F6228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19_Click" textlink="">
        <xdr:nvSpPr>
          <xdr:cNvPr id="583" name="E008R"/>
          <xdr:cNvSpPr/>
        </xdr:nvSpPr>
        <xdr:spPr bwMode="auto">
          <a:xfrm>
            <a:off x="6315075" y="70675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19_Click">
        <xdr:nvCxnSpPr>
          <xdr:cNvPr id="584" name="E008C"/>
          <xdr:cNvCxnSpPr>
            <a:stCxn id="582" idx="3"/>
            <a:endCxn id="583" idx="1"/>
          </xdr:cNvCxnSpPr>
        </xdr:nvCxnSpPr>
        <xdr:spPr bwMode="auto">
          <a:xfrm>
            <a:off x="5172075" y="71247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F6228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19_Click" textlink="">
        <xdr:nvSpPr>
          <xdr:cNvPr id="585" name="E008T"/>
          <xdr:cNvSpPr txBox="1"/>
        </xdr:nvSpPr>
        <xdr:spPr>
          <a:xfrm>
            <a:off x="5172075" y="6968182"/>
            <a:ext cx="841897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19.// Identify Food</a:t>
            </a:r>
          </a:p>
        </xdr:txBody>
      </xdr:sp>
    </xdr:grpSp>
    <xdr:clientData/>
  </xdr:twoCellAnchor>
  <xdr:twoCellAnchor>
    <xdr:from>
      <xdr:col>4</xdr:col>
      <xdr:colOff>1214682</xdr:colOff>
      <xdr:row>22</xdr:row>
      <xdr:rowOff>133868</xdr:rowOff>
    </xdr:from>
    <xdr:to>
      <xdr:col>6</xdr:col>
      <xdr:colOff>71682</xdr:colOff>
      <xdr:row>23</xdr:row>
      <xdr:rowOff>23686</xdr:rowOff>
    </xdr:to>
    <xdr:grpSp>
      <xdr:nvGrpSpPr>
        <xdr:cNvPr id="586" name="W004"/>
        <xdr:cNvGrpSpPr/>
      </xdr:nvGrpSpPr>
      <xdr:grpSpPr>
        <a:xfrm>
          <a:off x="6310557" y="7206181"/>
          <a:ext cx="1404938" cy="211286"/>
          <a:chOff x="6315075" y="7292032"/>
          <a:chExt cx="1409700" cy="213668"/>
        </a:xfrm>
      </xdr:grpSpPr>
      <xdr:sp macro="Mov020_Click" textlink="">
        <xdr:nvSpPr>
          <xdr:cNvPr id="587" name="W004L"/>
          <xdr:cNvSpPr/>
        </xdr:nvSpPr>
        <xdr:spPr bwMode="auto">
          <a:xfrm>
            <a:off x="6315075" y="739140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0_Click" textlink="">
        <xdr:nvSpPr>
          <xdr:cNvPr id="588" name="W004R"/>
          <xdr:cNvSpPr/>
        </xdr:nvSpPr>
        <xdr:spPr bwMode="auto">
          <a:xfrm>
            <a:off x="7591425" y="73914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0_Click">
        <xdr:nvCxnSpPr>
          <xdr:cNvPr id="589" name="W004C"/>
          <xdr:cNvCxnSpPr>
            <a:stCxn id="587" idx="3"/>
            <a:endCxn id="588" idx="1"/>
          </xdr:cNvCxnSpPr>
        </xdr:nvCxnSpPr>
        <xdr:spPr bwMode="auto">
          <a:xfrm>
            <a:off x="6448425" y="74485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0_Click" textlink="">
        <xdr:nvSpPr>
          <xdr:cNvPr id="590" name="W004T"/>
          <xdr:cNvSpPr txBox="1"/>
        </xdr:nvSpPr>
        <xdr:spPr>
          <a:xfrm>
            <a:off x="6448425" y="7292032"/>
            <a:ext cx="754181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20.// Store Food</a:t>
            </a:r>
          </a:p>
        </xdr:txBody>
      </xdr:sp>
    </xdr:grpSp>
    <xdr:clientData/>
  </xdr:twoCellAnchor>
  <xdr:twoCellAnchor>
    <xdr:from>
      <xdr:col>0</xdr:col>
      <xdr:colOff>1214682</xdr:colOff>
      <xdr:row>23</xdr:row>
      <xdr:rowOff>133868</xdr:rowOff>
    </xdr:from>
    <xdr:to>
      <xdr:col>5</xdr:col>
      <xdr:colOff>71682</xdr:colOff>
      <xdr:row>24</xdr:row>
      <xdr:rowOff>23686</xdr:rowOff>
    </xdr:to>
    <xdr:grpSp>
      <xdr:nvGrpSpPr>
        <xdr:cNvPr id="591" name="X006"/>
        <xdr:cNvGrpSpPr/>
      </xdr:nvGrpSpPr>
      <xdr:grpSpPr>
        <a:xfrm>
          <a:off x="1214682" y="7527649"/>
          <a:ext cx="5226844" cy="211287"/>
          <a:chOff x="1209675" y="7615882"/>
          <a:chExt cx="5238750" cy="213668"/>
        </a:xfrm>
      </xdr:grpSpPr>
      <xdr:sp macro="Mov021_Click" textlink="">
        <xdr:nvSpPr>
          <xdr:cNvPr id="592" name="X006L"/>
          <xdr:cNvSpPr/>
        </xdr:nvSpPr>
        <xdr:spPr bwMode="auto">
          <a:xfrm>
            <a:off x="6315075" y="771525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1_Click" textlink="">
        <xdr:nvSpPr>
          <xdr:cNvPr id="593" name="X006R"/>
          <xdr:cNvSpPr/>
        </xdr:nvSpPr>
        <xdr:spPr bwMode="auto">
          <a:xfrm>
            <a:off x="1209675" y="77152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1_Click">
        <xdr:nvCxnSpPr>
          <xdr:cNvPr id="594" name="X006C"/>
          <xdr:cNvCxnSpPr>
            <a:stCxn id="592" idx="1"/>
            <a:endCxn id="593" idx="3"/>
          </xdr:cNvCxnSpPr>
        </xdr:nvCxnSpPr>
        <xdr:spPr bwMode="auto">
          <a:xfrm flipH="1">
            <a:off x="1343025" y="7772400"/>
            <a:ext cx="49720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21_Click" textlink="">
        <xdr:nvSpPr>
          <xdr:cNvPr id="595" name="X006T"/>
          <xdr:cNvSpPr txBox="1"/>
        </xdr:nvSpPr>
        <xdr:spPr>
          <a:xfrm>
            <a:off x="5707152" y="7615882"/>
            <a:ext cx="607988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21.// Food ID</a:t>
            </a:r>
          </a:p>
        </xdr:txBody>
      </xdr:sp>
    </xdr:grpSp>
    <xdr:clientData/>
  </xdr:twoCellAnchor>
  <xdr:twoCellAnchor>
    <xdr:from>
      <xdr:col>0</xdr:col>
      <xdr:colOff>1214682</xdr:colOff>
      <xdr:row>24</xdr:row>
      <xdr:rowOff>133868</xdr:rowOff>
    </xdr:from>
    <xdr:to>
      <xdr:col>5</xdr:col>
      <xdr:colOff>71682</xdr:colOff>
      <xdr:row>25</xdr:row>
      <xdr:rowOff>23686</xdr:rowOff>
    </xdr:to>
    <xdr:grpSp>
      <xdr:nvGrpSpPr>
        <xdr:cNvPr id="596" name="E009"/>
        <xdr:cNvGrpSpPr/>
      </xdr:nvGrpSpPr>
      <xdr:grpSpPr>
        <a:xfrm>
          <a:off x="1214682" y="7849118"/>
          <a:ext cx="5226844" cy="211287"/>
          <a:chOff x="1209675" y="7939732"/>
          <a:chExt cx="5238750" cy="213668"/>
        </a:xfrm>
      </xdr:grpSpPr>
      <xdr:sp macro="Mov022_Click" textlink="">
        <xdr:nvSpPr>
          <xdr:cNvPr id="597" name="E009L"/>
          <xdr:cNvSpPr/>
        </xdr:nvSpPr>
        <xdr:spPr bwMode="auto">
          <a:xfrm>
            <a:off x="1209675" y="80391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2_Click" textlink="">
        <xdr:nvSpPr>
          <xdr:cNvPr id="598" name="E009R"/>
          <xdr:cNvSpPr/>
        </xdr:nvSpPr>
        <xdr:spPr bwMode="auto">
          <a:xfrm>
            <a:off x="6315075" y="80391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2_Click">
        <xdr:nvCxnSpPr>
          <xdr:cNvPr id="599" name="E009C"/>
          <xdr:cNvCxnSpPr>
            <a:stCxn id="597" idx="3"/>
            <a:endCxn id="598" idx="1"/>
          </xdr:cNvCxnSpPr>
        </xdr:nvCxnSpPr>
        <xdr:spPr bwMode="auto">
          <a:xfrm>
            <a:off x="1343025" y="8096250"/>
            <a:ext cx="49720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22_Click" textlink="">
        <xdr:nvSpPr>
          <xdr:cNvPr id="600" name="E009T"/>
          <xdr:cNvSpPr txBox="1"/>
        </xdr:nvSpPr>
        <xdr:spPr>
          <a:xfrm>
            <a:off x="1343025" y="7939732"/>
            <a:ext cx="882806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22.// Manage Food</a:t>
            </a:r>
          </a:p>
        </xdr:txBody>
      </xdr:sp>
    </xdr:grpSp>
    <xdr:clientData/>
  </xdr:twoCellAnchor>
  <xdr:twoCellAnchor>
    <xdr:from>
      <xdr:col>0</xdr:col>
      <xdr:colOff>85725</xdr:colOff>
      <xdr:row>21</xdr:row>
      <xdr:rowOff>204661</xdr:rowOff>
    </xdr:from>
    <xdr:to>
      <xdr:col>0</xdr:col>
      <xdr:colOff>546588</xdr:colOff>
      <xdr:row>23</xdr:row>
      <xdr:rowOff>272371</xdr:rowOff>
    </xdr:to>
    <xdr:grpSp>
      <xdr:nvGrpSpPr>
        <xdr:cNvPr id="601" name="T04"/>
        <xdr:cNvGrpSpPr/>
      </xdr:nvGrpSpPr>
      <xdr:grpSpPr>
        <a:xfrm>
          <a:off x="85725" y="6955505"/>
          <a:ext cx="460863" cy="710647"/>
          <a:chOff x="80718" y="7038975"/>
          <a:chExt cx="460863" cy="715410"/>
        </a:xfrm>
      </xdr:grpSpPr>
      <xdr:sp macro="Trg022_Click" textlink="">
        <xdr:nvSpPr>
          <xdr:cNvPr id="602" name="T04S"/>
          <xdr:cNvSpPr/>
        </xdr:nvSpPr>
        <xdr:spPr bwMode="auto">
          <a:xfrm>
            <a:off x="85725" y="703897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22_Click" textlink="">
        <xdr:nvSpPr>
          <xdr:cNvPr id="603" name="T04T"/>
          <xdr:cNvSpPr txBox="1"/>
        </xdr:nvSpPr>
        <xdr:spPr>
          <a:xfrm>
            <a:off x="80718" y="748982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Manage</a:t>
            </a:r>
          </a:p>
        </xdr:txBody>
      </xdr:sp>
    </xdr:grpSp>
    <xdr:clientData/>
  </xdr:twoCellAnchor>
  <xdr:twoCellAnchor>
    <xdr:from>
      <xdr:col>0</xdr:col>
      <xdr:colOff>316156</xdr:colOff>
      <xdr:row>23</xdr:row>
      <xdr:rowOff>272371</xdr:rowOff>
    </xdr:from>
    <xdr:to>
      <xdr:col>0</xdr:col>
      <xdr:colOff>1214681</xdr:colOff>
      <xdr:row>24</xdr:row>
      <xdr:rowOff>288642</xdr:rowOff>
    </xdr:to>
    <xdr:cxnSp macro="">
      <xdr:nvCxnSpPr>
        <xdr:cNvPr id="604" name="T04C"/>
        <xdr:cNvCxnSpPr>
          <a:stCxn id="603" idx="2"/>
          <a:endCxn id="597" idx="1"/>
        </xdr:cNvCxnSpPr>
      </xdr:nvCxnSpPr>
      <xdr:spPr bwMode="auto">
        <a:xfrm rot="16200000" flipH="1">
          <a:off x="596549" y="7385759"/>
          <a:ext cx="337740" cy="898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1214682</xdr:colOff>
      <xdr:row>25</xdr:row>
      <xdr:rowOff>133868</xdr:rowOff>
    </xdr:from>
    <xdr:to>
      <xdr:col>6</xdr:col>
      <xdr:colOff>71682</xdr:colOff>
      <xdr:row>26</xdr:row>
      <xdr:rowOff>23686</xdr:rowOff>
    </xdr:to>
    <xdr:grpSp>
      <xdr:nvGrpSpPr>
        <xdr:cNvPr id="605" name="W005"/>
        <xdr:cNvGrpSpPr/>
      </xdr:nvGrpSpPr>
      <xdr:grpSpPr>
        <a:xfrm>
          <a:off x="6310557" y="8170587"/>
          <a:ext cx="1404938" cy="211287"/>
          <a:chOff x="6315075" y="8263582"/>
          <a:chExt cx="1409700" cy="213668"/>
        </a:xfrm>
      </xdr:grpSpPr>
      <xdr:sp macro="Mov023_Click" textlink="">
        <xdr:nvSpPr>
          <xdr:cNvPr id="606" name="W005L"/>
          <xdr:cNvSpPr/>
        </xdr:nvSpPr>
        <xdr:spPr bwMode="auto">
          <a:xfrm>
            <a:off x="6315075" y="836295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3_Click" textlink="">
        <xdr:nvSpPr>
          <xdr:cNvPr id="607" name="W005R"/>
          <xdr:cNvSpPr/>
        </xdr:nvSpPr>
        <xdr:spPr bwMode="auto">
          <a:xfrm>
            <a:off x="7591425" y="83629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3_Click">
        <xdr:nvCxnSpPr>
          <xdr:cNvPr id="608" name="W005C"/>
          <xdr:cNvCxnSpPr>
            <a:stCxn id="606" idx="3"/>
            <a:endCxn id="607" idx="1"/>
          </xdr:cNvCxnSpPr>
        </xdr:nvCxnSpPr>
        <xdr:spPr bwMode="auto">
          <a:xfrm>
            <a:off x="6448425" y="84201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23_Click" textlink="">
        <xdr:nvSpPr>
          <xdr:cNvPr id="609" name="W005T"/>
          <xdr:cNvSpPr txBox="1"/>
        </xdr:nvSpPr>
        <xdr:spPr>
          <a:xfrm>
            <a:off x="6448425" y="8263582"/>
            <a:ext cx="958724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23.// Store Attributes</a:t>
            </a:r>
          </a:p>
        </xdr:txBody>
      </xdr:sp>
    </xdr:grpSp>
    <xdr:clientData/>
  </xdr:twoCellAnchor>
  <xdr:twoCellAnchor>
    <xdr:from>
      <xdr:col>4</xdr:col>
      <xdr:colOff>1214682</xdr:colOff>
      <xdr:row>26</xdr:row>
      <xdr:rowOff>133868</xdr:rowOff>
    </xdr:from>
    <xdr:to>
      <xdr:col>6</xdr:col>
      <xdr:colOff>71682</xdr:colOff>
      <xdr:row>27</xdr:row>
      <xdr:rowOff>23686</xdr:rowOff>
    </xdr:to>
    <xdr:grpSp>
      <xdr:nvGrpSpPr>
        <xdr:cNvPr id="610" name="R004"/>
        <xdr:cNvGrpSpPr/>
      </xdr:nvGrpSpPr>
      <xdr:grpSpPr>
        <a:xfrm>
          <a:off x="6310557" y="8492056"/>
          <a:ext cx="1404938" cy="211286"/>
          <a:chOff x="6315075" y="8587432"/>
          <a:chExt cx="1409700" cy="213668"/>
        </a:xfrm>
      </xdr:grpSpPr>
      <xdr:sp macro="Mov024_Click" textlink="">
        <xdr:nvSpPr>
          <xdr:cNvPr id="611" name="R004L"/>
          <xdr:cNvSpPr/>
        </xdr:nvSpPr>
        <xdr:spPr bwMode="auto">
          <a:xfrm>
            <a:off x="7591425" y="868680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4_Click" textlink="">
        <xdr:nvSpPr>
          <xdr:cNvPr id="612" name="R004R"/>
          <xdr:cNvSpPr/>
        </xdr:nvSpPr>
        <xdr:spPr bwMode="auto">
          <a:xfrm>
            <a:off x="6315075" y="86868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4_Click">
        <xdr:nvCxnSpPr>
          <xdr:cNvPr id="613" name="R004C"/>
          <xdr:cNvCxnSpPr>
            <a:stCxn id="611" idx="1"/>
            <a:endCxn id="612" idx="3"/>
          </xdr:cNvCxnSpPr>
        </xdr:nvCxnSpPr>
        <xdr:spPr bwMode="auto">
          <a:xfrm flipH="1">
            <a:off x="6448425" y="87439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24_Click" textlink="">
        <xdr:nvSpPr>
          <xdr:cNvPr id="614" name="R004T"/>
          <xdr:cNvSpPr txBox="1"/>
        </xdr:nvSpPr>
        <xdr:spPr>
          <a:xfrm>
            <a:off x="6621095" y="8587432"/>
            <a:ext cx="97039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24.// Show Attributes</a:t>
            </a:r>
          </a:p>
        </xdr:txBody>
      </xdr:sp>
    </xdr:grpSp>
    <xdr:clientData/>
  </xdr:twoCellAnchor>
  <xdr:twoCellAnchor>
    <xdr:from>
      <xdr:col>0</xdr:col>
      <xdr:colOff>1214682</xdr:colOff>
      <xdr:row>27</xdr:row>
      <xdr:rowOff>133868</xdr:rowOff>
    </xdr:from>
    <xdr:to>
      <xdr:col>5</xdr:col>
      <xdr:colOff>71682</xdr:colOff>
      <xdr:row>28</xdr:row>
      <xdr:rowOff>23686</xdr:rowOff>
    </xdr:to>
    <xdr:grpSp>
      <xdr:nvGrpSpPr>
        <xdr:cNvPr id="615" name="X007"/>
        <xdr:cNvGrpSpPr/>
      </xdr:nvGrpSpPr>
      <xdr:grpSpPr>
        <a:xfrm>
          <a:off x="1214682" y="8813524"/>
          <a:ext cx="5226844" cy="211287"/>
          <a:chOff x="1209675" y="8911282"/>
          <a:chExt cx="5238750" cy="213668"/>
        </a:xfrm>
      </xdr:grpSpPr>
      <xdr:sp macro="Mov025_Click" textlink="">
        <xdr:nvSpPr>
          <xdr:cNvPr id="616" name="X007L"/>
          <xdr:cNvSpPr/>
        </xdr:nvSpPr>
        <xdr:spPr bwMode="auto">
          <a:xfrm>
            <a:off x="6315075" y="901065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5_Click" textlink="">
        <xdr:nvSpPr>
          <xdr:cNvPr id="617" name="X007R"/>
          <xdr:cNvSpPr/>
        </xdr:nvSpPr>
        <xdr:spPr bwMode="auto">
          <a:xfrm>
            <a:off x="1209675" y="90106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5_Click">
        <xdr:nvCxnSpPr>
          <xdr:cNvPr id="618" name="X007C"/>
          <xdr:cNvCxnSpPr>
            <a:stCxn id="616" idx="1"/>
            <a:endCxn id="617" idx="3"/>
          </xdr:cNvCxnSpPr>
        </xdr:nvCxnSpPr>
        <xdr:spPr bwMode="auto">
          <a:xfrm flipH="1">
            <a:off x="1343025" y="9067800"/>
            <a:ext cx="49720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25_Click" textlink="">
        <xdr:nvSpPr>
          <xdr:cNvPr id="619" name="X007T"/>
          <xdr:cNvSpPr txBox="1"/>
        </xdr:nvSpPr>
        <xdr:spPr>
          <a:xfrm>
            <a:off x="5344745" y="8911282"/>
            <a:ext cx="97039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25.// Show Attributes</a:t>
            </a:r>
          </a:p>
        </xdr:txBody>
      </xdr:sp>
    </xdr:grpSp>
    <xdr:clientData/>
  </xdr:twoCellAnchor>
  <xdr:twoCellAnchor>
    <xdr:from>
      <xdr:col>0</xdr:col>
      <xdr:colOff>1214682</xdr:colOff>
      <xdr:row>28</xdr:row>
      <xdr:rowOff>133868</xdr:rowOff>
    </xdr:from>
    <xdr:to>
      <xdr:col>8</xdr:col>
      <xdr:colOff>71682</xdr:colOff>
      <xdr:row>29</xdr:row>
      <xdr:rowOff>23686</xdr:rowOff>
    </xdr:to>
    <xdr:grpSp>
      <xdr:nvGrpSpPr>
        <xdr:cNvPr id="620" name="E010"/>
        <xdr:cNvGrpSpPr/>
      </xdr:nvGrpSpPr>
      <xdr:grpSpPr>
        <a:xfrm>
          <a:off x="1214682" y="9134993"/>
          <a:ext cx="9048750" cy="211287"/>
          <a:chOff x="1209675" y="9235132"/>
          <a:chExt cx="9067800" cy="213668"/>
        </a:xfrm>
      </xdr:grpSpPr>
      <xdr:sp macro="Mov026_Click" textlink="">
        <xdr:nvSpPr>
          <xdr:cNvPr id="621" name="E010L"/>
          <xdr:cNvSpPr/>
        </xdr:nvSpPr>
        <xdr:spPr bwMode="auto">
          <a:xfrm>
            <a:off x="1209675" y="93345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6_Click" textlink="">
        <xdr:nvSpPr>
          <xdr:cNvPr id="622" name="E010R"/>
          <xdr:cNvSpPr/>
        </xdr:nvSpPr>
        <xdr:spPr bwMode="auto">
          <a:xfrm>
            <a:off x="10144125" y="93345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6_Click">
        <xdr:nvCxnSpPr>
          <xdr:cNvPr id="623" name="E010C"/>
          <xdr:cNvCxnSpPr>
            <a:stCxn id="621" idx="3"/>
            <a:endCxn id="622" idx="1"/>
          </xdr:cNvCxnSpPr>
        </xdr:nvCxnSpPr>
        <xdr:spPr bwMode="auto">
          <a:xfrm>
            <a:off x="1343025" y="9391650"/>
            <a:ext cx="88011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6_Click" textlink="">
        <xdr:nvSpPr>
          <xdr:cNvPr id="624" name="E010T"/>
          <xdr:cNvSpPr txBox="1"/>
        </xdr:nvSpPr>
        <xdr:spPr>
          <a:xfrm>
            <a:off x="1343025" y="9235132"/>
            <a:ext cx="1292020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26.// Request Shopping List</a:t>
            </a:r>
          </a:p>
        </xdr:txBody>
      </xdr:sp>
    </xdr:grpSp>
    <xdr:clientData/>
  </xdr:twoCellAnchor>
  <xdr:twoCellAnchor>
    <xdr:from>
      <xdr:col>7</xdr:col>
      <xdr:colOff>1214682</xdr:colOff>
      <xdr:row>29</xdr:row>
      <xdr:rowOff>133868</xdr:rowOff>
    </xdr:from>
    <xdr:to>
      <xdr:col>9</xdr:col>
      <xdr:colOff>71682</xdr:colOff>
      <xdr:row>30</xdr:row>
      <xdr:rowOff>23686</xdr:rowOff>
    </xdr:to>
    <xdr:grpSp>
      <xdr:nvGrpSpPr>
        <xdr:cNvPr id="625" name="R005"/>
        <xdr:cNvGrpSpPr/>
      </xdr:nvGrpSpPr>
      <xdr:grpSpPr>
        <a:xfrm>
          <a:off x="10132463" y="9456462"/>
          <a:ext cx="1404938" cy="211287"/>
          <a:chOff x="10144125" y="9558982"/>
          <a:chExt cx="1409700" cy="213668"/>
        </a:xfrm>
      </xdr:grpSpPr>
      <xdr:sp macro="Mov027_Click" textlink="">
        <xdr:nvSpPr>
          <xdr:cNvPr id="626" name="R005L"/>
          <xdr:cNvSpPr/>
        </xdr:nvSpPr>
        <xdr:spPr bwMode="auto">
          <a:xfrm>
            <a:off x="11420475" y="965835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7_Click" textlink="">
        <xdr:nvSpPr>
          <xdr:cNvPr id="627" name="R005R"/>
          <xdr:cNvSpPr/>
        </xdr:nvSpPr>
        <xdr:spPr bwMode="auto">
          <a:xfrm>
            <a:off x="10144125" y="96583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7_Click">
        <xdr:nvCxnSpPr>
          <xdr:cNvPr id="628" name="R005C"/>
          <xdr:cNvCxnSpPr>
            <a:stCxn id="626" idx="1"/>
            <a:endCxn id="627" idx="3"/>
          </xdr:cNvCxnSpPr>
        </xdr:nvCxnSpPr>
        <xdr:spPr bwMode="auto">
          <a:xfrm flipH="1">
            <a:off x="10277475" y="97155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7_Click" textlink="">
        <xdr:nvSpPr>
          <xdr:cNvPr id="629" name="R005T"/>
          <xdr:cNvSpPr txBox="1"/>
        </xdr:nvSpPr>
        <xdr:spPr>
          <a:xfrm>
            <a:off x="10485155" y="9558982"/>
            <a:ext cx="93538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27.// Food Inventory</a:t>
            </a:r>
          </a:p>
        </xdr:txBody>
      </xdr:sp>
    </xdr:grpSp>
    <xdr:clientData/>
  </xdr:twoCellAnchor>
  <xdr:twoCellAnchor>
    <xdr:from>
      <xdr:col>2</xdr:col>
      <xdr:colOff>1214682</xdr:colOff>
      <xdr:row>30</xdr:row>
      <xdr:rowOff>133868</xdr:rowOff>
    </xdr:from>
    <xdr:to>
      <xdr:col>8</xdr:col>
      <xdr:colOff>71682</xdr:colOff>
      <xdr:row>31</xdr:row>
      <xdr:rowOff>23686</xdr:rowOff>
    </xdr:to>
    <xdr:grpSp>
      <xdr:nvGrpSpPr>
        <xdr:cNvPr id="630" name="R006"/>
        <xdr:cNvGrpSpPr/>
      </xdr:nvGrpSpPr>
      <xdr:grpSpPr>
        <a:xfrm>
          <a:off x="3762620" y="9777931"/>
          <a:ext cx="6500812" cy="211286"/>
          <a:chOff x="3762375" y="9882832"/>
          <a:chExt cx="6515100" cy="213668"/>
        </a:xfrm>
      </xdr:grpSpPr>
      <xdr:sp macro="Mov028_Click" textlink="">
        <xdr:nvSpPr>
          <xdr:cNvPr id="631" name="R006L"/>
          <xdr:cNvSpPr/>
        </xdr:nvSpPr>
        <xdr:spPr bwMode="auto">
          <a:xfrm>
            <a:off x="3762375" y="998220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8_Click" textlink="">
        <xdr:nvSpPr>
          <xdr:cNvPr id="632" name="R006R"/>
          <xdr:cNvSpPr/>
        </xdr:nvSpPr>
        <xdr:spPr bwMode="auto">
          <a:xfrm>
            <a:off x="10144125" y="99822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8_Click">
        <xdr:nvCxnSpPr>
          <xdr:cNvPr id="633" name="R006C"/>
          <xdr:cNvCxnSpPr>
            <a:stCxn id="631" idx="3"/>
            <a:endCxn id="632" idx="1"/>
          </xdr:cNvCxnSpPr>
        </xdr:nvCxnSpPr>
        <xdr:spPr bwMode="auto">
          <a:xfrm>
            <a:off x="3895725" y="10039350"/>
            <a:ext cx="62484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8_Click" textlink="">
        <xdr:nvSpPr>
          <xdr:cNvPr id="634" name="R006T"/>
          <xdr:cNvSpPr txBox="1"/>
        </xdr:nvSpPr>
        <xdr:spPr>
          <a:xfrm>
            <a:off x="3895725" y="9882832"/>
            <a:ext cx="1455527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28.// Recipe Food Components</a:t>
            </a:r>
          </a:p>
        </xdr:txBody>
      </xdr:sp>
    </xdr:grpSp>
    <xdr:clientData/>
  </xdr:twoCellAnchor>
  <xdr:twoCellAnchor>
    <xdr:from>
      <xdr:col>0</xdr:col>
      <xdr:colOff>1214682</xdr:colOff>
      <xdr:row>31</xdr:row>
      <xdr:rowOff>133868</xdr:rowOff>
    </xdr:from>
    <xdr:to>
      <xdr:col>8</xdr:col>
      <xdr:colOff>71682</xdr:colOff>
      <xdr:row>32</xdr:row>
      <xdr:rowOff>23686</xdr:rowOff>
    </xdr:to>
    <xdr:grpSp>
      <xdr:nvGrpSpPr>
        <xdr:cNvPr id="635" name="X008"/>
        <xdr:cNvGrpSpPr/>
      </xdr:nvGrpSpPr>
      <xdr:grpSpPr>
        <a:xfrm>
          <a:off x="1214682" y="10099399"/>
          <a:ext cx="9048750" cy="211287"/>
          <a:chOff x="1209675" y="10206682"/>
          <a:chExt cx="9067800" cy="213668"/>
        </a:xfrm>
      </xdr:grpSpPr>
      <xdr:sp macro="Mov029_Click" textlink="">
        <xdr:nvSpPr>
          <xdr:cNvPr id="636" name="X008L"/>
          <xdr:cNvSpPr/>
        </xdr:nvSpPr>
        <xdr:spPr bwMode="auto">
          <a:xfrm>
            <a:off x="10144125" y="1030605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29_Click" textlink="">
        <xdr:nvSpPr>
          <xdr:cNvPr id="637" name="X008R"/>
          <xdr:cNvSpPr/>
        </xdr:nvSpPr>
        <xdr:spPr bwMode="auto">
          <a:xfrm>
            <a:off x="1209675" y="103060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29_Click">
        <xdr:nvCxnSpPr>
          <xdr:cNvPr id="638" name="X008C"/>
          <xdr:cNvCxnSpPr>
            <a:stCxn id="636" idx="1"/>
            <a:endCxn id="637" idx="3"/>
          </xdr:cNvCxnSpPr>
        </xdr:nvCxnSpPr>
        <xdr:spPr bwMode="auto">
          <a:xfrm flipH="1">
            <a:off x="1343025" y="10363200"/>
            <a:ext cx="88011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29_Click" textlink="">
        <xdr:nvSpPr>
          <xdr:cNvPr id="639" name="X008T"/>
          <xdr:cNvSpPr txBox="1"/>
        </xdr:nvSpPr>
        <xdr:spPr>
          <a:xfrm>
            <a:off x="8992463" y="10206682"/>
            <a:ext cx="1151727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29.// Issue Shopping List</a:t>
            </a:r>
          </a:p>
        </xdr:txBody>
      </xdr:sp>
    </xdr:grpSp>
    <xdr:clientData/>
  </xdr:twoCellAnchor>
  <xdr:twoCellAnchor>
    <xdr:from>
      <xdr:col>6</xdr:col>
      <xdr:colOff>1214682</xdr:colOff>
      <xdr:row>32</xdr:row>
      <xdr:rowOff>133868</xdr:rowOff>
    </xdr:from>
    <xdr:to>
      <xdr:col>8</xdr:col>
      <xdr:colOff>71682</xdr:colOff>
      <xdr:row>33</xdr:row>
      <xdr:rowOff>23686</xdr:rowOff>
    </xdr:to>
    <xdr:grpSp>
      <xdr:nvGrpSpPr>
        <xdr:cNvPr id="640" name="E011"/>
        <xdr:cNvGrpSpPr/>
      </xdr:nvGrpSpPr>
      <xdr:grpSpPr>
        <a:xfrm>
          <a:off x="8858495" y="10420868"/>
          <a:ext cx="1404937" cy="211287"/>
          <a:chOff x="8867775" y="10530532"/>
          <a:chExt cx="1409700" cy="213668"/>
        </a:xfrm>
      </xdr:grpSpPr>
      <xdr:sp macro="Mov030_Click" textlink="">
        <xdr:nvSpPr>
          <xdr:cNvPr id="641" name="E011L"/>
          <xdr:cNvSpPr/>
        </xdr:nvSpPr>
        <xdr:spPr bwMode="auto">
          <a:xfrm>
            <a:off x="8867775" y="10629900"/>
            <a:ext cx="133350" cy="114300"/>
          </a:xfrm>
          <a:prstGeom prst="diamond">
            <a:avLst/>
          </a:prstGeom>
          <a:solidFill>
            <a:srgbClr val="4F6228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0_Click" textlink="">
        <xdr:nvSpPr>
          <xdr:cNvPr id="642" name="E011R"/>
          <xdr:cNvSpPr/>
        </xdr:nvSpPr>
        <xdr:spPr bwMode="auto">
          <a:xfrm>
            <a:off x="10144125" y="106299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0_Click">
        <xdr:nvCxnSpPr>
          <xdr:cNvPr id="643" name="E011C"/>
          <xdr:cNvCxnSpPr>
            <a:stCxn id="641" idx="3"/>
            <a:endCxn id="642" idx="1"/>
          </xdr:cNvCxnSpPr>
        </xdr:nvCxnSpPr>
        <xdr:spPr bwMode="auto">
          <a:xfrm>
            <a:off x="9001125" y="106870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F6228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0_Click" textlink="">
        <xdr:nvSpPr>
          <xdr:cNvPr id="644" name="E011T"/>
          <xdr:cNvSpPr txBox="1"/>
        </xdr:nvSpPr>
        <xdr:spPr>
          <a:xfrm>
            <a:off x="9001125" y="10530532"/>
            <a:ext cx="1046440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30.// Record Shopping</a:t>
            </a:r>
          </a:p>
        </xdr:txBody>
      </xdr:sp>
    </xdr:grpSp>
    <xdr:clientData/>
  </xdr:twoCellAnchor>
  <xdr:twoCellAnchor>
    <xdr:from>
      <xdr:col>0</xdr:col>
      <xdr:colOff>85725</xdr:colOff>
      <xdr:row>29</xdr:row>
      <xdr:rowOff>204661</xdr:rowOff>
    </xdr:from>
    <xdr:to>
      <xdr:col>0</xdr:col>
      <xdr:colOff>546588</xdr:colOff>
      <xdr:row>31</xdr:row>
      <xdr:rowOff>272371</xdr:rowOff>
    </xdr:to>
    <xdr:grpSp>
      <xdr:nvGrpSpPr>
        <xdr:cNvPr id="645" name="T05"/>
        <xdr:cNvGrpSpPr/>
      </xdr:nvGrpSpPr>
      <xdr:grpSpPr>
        <a:xfrm>
          <a:off x="85725" y="9527255"/>
          <a:ext cx="460863" cy="710647"/>
          <a:chOff x="80718" y="9629775"/>
          <a:chExt cx="460863" cy="715410"/>
        </a:xfrm>
      </xdr:grpSpPr>
      <xdr:sp macro="Trg030_Click" textlink="">
        <xdr:nvSpPr>
          <xdr:cNvPr id="646" name="T05S"/>
          <xdr:cNvSpPr/>
        </xdr:nvSpPr>
        <xdr:spPr bwMode="auto">
          <a:xfrm>
            <a:off x="85725" y="962977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30_Click" textlink="">
        <xdr:nvSpPr>
          <xdr:cNvPr id="647" name="T05T"/>
          <xdr:cNvSpPr txBox="1"/>
        </xdr:nvSpPr>
        <xdr:spPr>
          <a:xfrm>
            <a:off x="80718" y="1008062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Shopping</a:t>
            </a:r>
          </a:p>
        </xdr:txBody>
      </xdr:sp>
    </xdr:grpSp>
    <xdr:clientData/>
  </xdr:twoCellAnchor>
  <xdr:twoCellAnchor>
    <xdr:from>
      <xdr:col>0</xdr:col>
      <xdr:colOff>316157</xdr:colOff>
      <xdr:row>31</xdr:row>
      <xdr:rowOff>272371</xdr:rowOff>
    </xdr:from>
    <xdr:to>
      <xdr:col>6</xdr:col>
      <xdr:colOff>1214682</xdr:colOff>
      <xdr:row>32</xdr:row>
      <xdr:rowOff>288642</xdr:rowOff>
    </xdr:to>
    <xdr:cxnSp macro="">
      <xdr:nvCxnSpPr>
        <xdr:cNvPr id="648" name="T05C"/>
        <xdr:cNvCxnSpPr>
          <a:stCxn id="647" idx="2"/>
          <a:endCxn id="641" idx="1"/>
        </xdr:cNvCxnSpPr>
      </xdr:nvCxnSpPr>
      <xdr:spPr bwMode="auto">
        <a:xfrm rot="16200000" flipH="1">
          <a:off x="4418456" y="6135603"/>
          <a:ext cx="337740" cy="8542338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0</xdr:col>
      <xdr:colOff>1214682</xdr:colOff>
      <xdr:row>33</xdr:row>
      <xdr:rowOff>133868</xdr:rowOff>
    </xdr:from>
    <xdr:to>
      <xdr:col>8</xdr:col>
      <xdr:colOff>71682</xdr:colOff>
      <xdr:row>34</xdr:row>
      <xdr:rowOff>23686</xdr:rowOff>
    </xdr:to>
    <xdr:grpSp>
      <xdr:nvGrpSpPr>
        <xdr:cNvPr id="649" name="E012"/>
        <xdr:cNvGrpSpPr/>
      </xdr:nvGrpSpPr>
      <xdr:grpSpPr>
        <a:xfrm>
          <a:off x="1214682" y="10742337"/>
          <a:ext cx="9048750" cy="211287"/>
          <a:chOff x="1209675" y="10854382"/>
          <a:chExt cx="9067800" cy="213668"/>
        </a:xfrm>
      </xdr:grpSpPr>
      <xdr:sp macro="Mov031_Click" textlink="">
        <xdr:nvSpPr>
          <xdr:cNvPr id="650" name="E012L"/>
          <xdr:cNvSpPr/>
        </xdr:nvSpPr>
        <xdr:spPr bwMode="auto">
          <a:xfrm>
            <a:off x="1209675" y="1095375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1_Click" textlink="">
        <xdr:nvSpPr>
          <xdr:cNvPr id="651" name="E012R"/>
          <xdr:cNvSpPr/>
        </xdr:nvSpPr>
        <xdr:spPr bwMode="auto">
          <a:xfrm>
            <a:off x="10144125" y="109537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1_Click">
        <xdr:nvCxnSpPr>
          <xdr:cNvPr id="652" name="E012C"/>
          <xdr:cNvCxnSpPr>
            <a:stCxn id="650" idx="3"/>
            <a:endCxn id="651" idx="1"/>
          </xdr:cNvCxnSpPr>
        </xdr:nvCxnSpPr>
        <xdr:spPr bwMode="auto">
          <a:xfrm>
            <a:off x="1343025" y="11010900"/>
            <a:ext cx="88011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1_Click" textlink="">
        <xdr:nvSpPr>
          <xdr:cNvPr id="653" name="E012T"/>
          <xdr:cNvSpPr txBox="1"/>
        </xdr:nvSpPr>
        <xdr:spPr>
          <a:xfrm>
            <a:off x="1343025" y="10854382"/>
            <a:ext cx="853439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31.// Manual Entry</a:t>
            </a:r>
          </a:p>
        </xdr:txBody>
      </xdr:sp>
    </xdr:grpSp>
    <xdr:clientData/>
  </xdr:twoCellAnchor>
  <xdr:twoCellAnchor>
    <xdr:from>
      <xdr:col>7</xdr:col>
      <xdr:colOff>1214682</xdr:colOff>
      <xdr:row>34</xdr:row>
      <xdr:rowOff>133868</xdr:rowOff>
    </xdr:from>
    <xdr:to>
      <xdr:col>9</xdr:col>
      <xdr:colOff>71682</xdr:colOff>
      <xdr:row>35</xdr:row>
      <xdr:rowOff>23686</xdr:rowOff>
    </xdr:to>
    <xdr:grpSp>
      <xdr:nvGrpSpPr>
        <xdr:cNvPr id="654" name="W006"/>
        <xdr:cNvGrpSpPr/>
      </xdr:nvGrpSpPr>
      <xdr:grpSpPr>
        <a:xfrm>
          <a:off x="10132463" y="11063806"/>
          <a:ext cx="1404938" cy="211286"/>
          <a:chOff x="10144125" y="11178232"/>
          <a:chExt cx="1409700" cy="213668"/>
        </a:xfrm>
      </xdr:grpSpPr>
      <xdr:sp macro="Mov032_Click" textlink="">
        <xdr:nvSpPr>
          <xdr:cNvPr id="655" name="W006L"/>
          <xdr:cNvSpPr/>
        </xdr:nvSpPr>
        <xdr:spPr bwMode="auto">
          <a:xfrm>
            <a:off x="10144125" y="1127760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2_Click" textlink="">
        <xdr:nvSpPr>
          <xdr:cNvPr id="656" name="W006R"/>
          <xdr:cNvSpPr/>
        </xdr:nvSpPr>
        <xdr:spPr bwMode="auto">
          <a:xfrm>
            <a:off x="11420475" y="112776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2_Click">
        <xdr:nvCxnSpPr>
          <xdr:cNvPr id="657" name="W006C"/>
          <xdr:cNvCxnSpPr>
            <a:stCxn id="655" idx="3"/>
            <a:endCxn id="656" idx="1"/>
          </xdr:cNvCxnSpPr>
        </xdr:nvCxnSpPr>
        <xdr:spPr bwMode="auto">
          <a:xfrm>
            <a:off x="10277475" y="113347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2_Click" textlink="">
        <xdr:nvSpPr>
          <xdr:cNvPr id="658" name="W006T"/>
          <xdr:cNvSpPr txBox="1"/>
        </xdr:nvSpPr>
        <xdr:spPr>
          <a:xfrm>
            <a:off x="10277475" y="11178232"/>
            <a:ext cx="958852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32.// Store Shopping</a:t>
            </a:r>
          </a:p>
        </xdr:txBody>
      </xdr:sp>
    </xdr:grpSp>
    <xdr:clientData/>
  </xdr:twoCellAnchor>
  <xdr:twoCellAnchor>
    <xdr:from>
      <xdr:col>7</xdr:col>
      <xdr:colOff>1214682</xdr:colOff>
      <xdr:row>35</xdr:row>
      <xdr:rowOff>133868</xdr:rowOff>
    </xdr:from>
    <xdr:to>
      <xdr:col>9</xdr:col>
      <xdr:colOff>71682</xdr:colOff>
      <xdr:row>36</xdr:row>
      <xdr:rowOff>23686</xdr:rowOff>
    </xdr:to>
    <xdr:grpSp>
      <xdr:nvGrpSpPr>
        <xdr:cNvPr id="659" name="R007"/>
        <xdr:cNvGrpSpPr/>
      </xdr:nvGrpSpPr>
      <xdr:grpSpPr>
        <a:xfrm>
          <a:off x="10132463" y="11385274"/>
          <a:ext cx="1404938" cy="211287"/>
          <a:chOff x="10144125" y="11502082"/>
          <a:chExt cx="1409700" cy="213668"/>
        </a:xfrm>
      </xdr:grpSpPr>
      <xdr:sp macro="Mov033_Click" textlink="">
        <xdr:nvSpPr>
          <xdr:cNvPr id="660" name="R007L"/>
          <xdr:cNvSpPr/>
        </xdr:nvSpPr>
        <xdr:spPr bwMode="auto">
          <a:xfrm>
            <a:off x="11420475" y="1160145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3_Click" textlink="">
        <xdr:nvSpPr>
          <xdr:cNvPr id="661" name="R007R"/>
          <xdr:cNvSpPr/>
        </xdr:nvSpPr>
        <xdr:spPr bwMode="auto">
          <a:xfrm>
            <a:off x="10144125" y="116014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3_Click">
        <xdr:nvCxnSpPr>
          <xdr:cNvPr id="662" name="R007C"/>
          <xdr:cNvCxnSpPr>
            <a:stCxn id="660" idx="1"/>
            <a:endCxn id="661" idx="3"/>
          </xdr:cNvCxnSpPr>
        </xdr:nvCxnSpPr>
        <xdr:spPr bwMode="auto">
          <a:xfrm flipH="1">
            <a:off x="10277475" y="116586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3_Click" textlink="">
        <xdr:nvSpPr>
          <xdr:cNvPr id="663" name="R007T"/>
          <xdr:cNvSpPr txBox="1"/>
        </xdr:nvSpPr>
        <xdr:spPr>
          <a:xfrm>
            <a:off x="10561201" y="11502082"/>
            <a:ext cx="859339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33.// List Inventory</a:t>
            </a:r>
          </a:p>
        </xdr:txBody>
      </xdr:sp>
    </xdr:grpSp>
    <xdr:clientData/>
  </xdr:twoCellAnchor>
  <xdr:twoCellAnchor>
    <xdr:from>
      <xdr:col>0</xdr:col>
      <xdr:colOff>1214682</xdr:colOff>
      <xdr:row>36</xdr:row>
      <xdr:rowOff>133868</xdr:rowOff>
    </xdr:from>
    <xdr:to>
      <xdr:col>8</xdr:col>
      <xdr:colOff>71682</xdr:colOff>
      <xdr:row>37</xdr:row>
      <xdr:rowOff>23686</xdr:rowOff>
    </xdr:to>
    <xdr:grpSp>
      <xdr:nvGrpSpPr>
        <xdr:cNvPr id="664" name="X009"/>
        <xdr:cNvGrpSpPr/>
      </xdr:nvGrpSpPr>
      <xdr:grpSpPr>
        <a:xfrm>
          <a:off x="1214682" y="11706743"/>
          <a:ext cx="9048750" cy="211287"/>
          <a:chOff x="1209675" y="11825932"/>
          <a:chExt cx="9067800" cy="213668"/>
        </a:xfrm>
      </xdr:grpSpPr>
      <xdr:sp macro="Mov034_Click" textlink="">
        <xdr:nvSpPr>
          <xdr:cNvPr id="665" name="X009L"/>
          <xdr:cNvSpPr/>
        </xdr:nvSpPr>
        <xdr:spPr bwMode="auto">
          <a:xfrm>
            <a:off x="10144125" y="1192530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4_Click" textlink="">
        <xdr:nvSpPr>
          <xdr:cNvPr id="666" name="X009R"/>
          <xdr:cNvSpPr/>
        </xdr:nvSpPr>
        <xdr:spPr bwMode="auto">
          <a:xfrm>
            <a:off x="1209675" y="119253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4_Click">
        <xdr:nvCxnSpPr>
          <xdr:cNvPr id="667" name="X009C"/>
          <xdr:cNvCxnSpPr>
            <a:stCxn id="665" idx="1"/>
            <a:endCxn id="666" idx="3"/>
          </xdr:cNvCxnSpPr>
        </xdr:nvCxnSpPr>
        <xdr:spPr bwMode="auto">
          <a:xfrm flipH="1">
            <a:off x="1343025" y="11982450"/>
            <a:ext cx="88011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4_Click" textlink="">
        <xdr:nvSpPr>
          <xdr:cNvPr id="668" name="X009T"/>
          <xdr:cNvSpPr txBox="1"/>
        </xdr:nvSpPr>
        <xdr:spPr>
          <a:xfrm>
            <a:off x="9185465" y="11825932"/>
            <a:ext cx="95872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34.// Show Inventory</a:t>
            </a:r>
          </a:p>
        </xdr:txBody>
      </xdr:sp>
    </xdr:grpSp>
    <xdr:clientData/>
  </xdr:twoCellAnchor>
  <xdr:twoCellAnchor>
    <xdr:from>
      <xdr:col>7</xdr:col>
      <xdr:colOff>1214682</xdr:colOff>
      <xdr:row>37</xdr:row>
      <xdr:rowOff>133868</xdr:rowOff>
    </xdr:from>
    <xdr:to>
      <xdr:col>9</xdr:col>
      <xdr:colOff>71682</xdr:colOff>
      <xdr:row>38</xdr:row>
      <xdr:rowOff>23686</xdr:rowOff>
    </xdr:to>
    <xdr:grpSp>
      <xdr:nvGrpSpPr>
        <xdr:cNvPr id="669" name="R008"/>
        <xdr:cNvGrpSpPr/>
      </xdr:nvGrpSpPr>
      <xdr:grpSpPr>
        <a:xfrm>
          <a:off x="10132463" y="12028212"/>
          <a:ext cx="1404938" cy="211287"/>
          <a:chOff x="10144125" y="12149782"/>
          <a:chExt cx="1409700" cy="213668"/>
        </a:xfrm>
      </xdr:grpSpPr>
      <xdr:sp macro="Mov035_Click" textlink="">
        <xdr:nvSpPr>
          <xdr:cNvPr id="670" name="R008L"/>
          <xdr:cNvSpPr/>
        </xdr:nvSpPr>
        <xdr:spPr bwMode="auto">
          <a:xfrm>
            <a:off x="11420475" y="1224915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5_Click" textlink="">
        <xdr:nvSpPr>
          <xdr:cNvPr id="671" name="R008R"/>
          <xdr:cNvSpPr/>
        </xdr:nvSpPr>
        <xdr:spPr bwMode="auto">
          <a:xfrm>
            <a:off x="10144125" y="122491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5_Click">
        <xdr:nvCxnSpPr>
          <xdr:cNvPr id="672" name="R008C"/>
          <xdr:cNvCxnSpPr>
            <a:stCxn id="670" idx="1"/>
            <a:endCxn id="671" idx="3"/>
          </xdr:cNvCxnSpPr>
        </xdr:nvCxnSpPr>
        <xdr:spPr bwMode="auto">
          <a:xfrm flipH="1">
            <a:off x="10277475" y="123063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5_Click" textlink="">
        <xdr:nvSpPr>
          <xdr:cNvPr id="673" name="R008T"/>
          <xdr:cNvSpPr txBox="1"/>
        </xdr:nvSpPr>
        <xdr:spPr>
          <a:xfrm>
            <a:off x="10771643" y="12149782"/>
            <a:ext cx="648897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35.// Expired?</a:t>
            </a:r>
          </a:p>
        </xdr:txBody>
      </xdr:sp>
    </xdr:grpSp>
    <xdr:clientData/>
  </xdr:twoCellAnchor>
  <xdr:twoCellAnchor>
    <xdr:from>
      <xdr:col>5</xdr:col>
      <xdr:colOff>1214682</xdr:colOff>
      <xdr:row>38</xdr:row>
      <xdr:rowOff>133868</xdr:rowOff>
    </xdr:from>
    <xdr:to>
      <xdr:col>8</xdr:col>
      <xdr:colOff>71682</xdr:colOff>
      <xdr:row>39</xdr:row>
      <xdr:rowOff>23686</xdr:rowOff>
    </xdr:to>
    <xdr:grpSp>
      <xdr:nvGrpSpPr>
        <xdr:cNvPr id="674" name="R009"/>
        <xdr:cNvGrpSpPr/>
      </xdr:nvGrpSpPr>
      <xdr:grpSpPr>
        <a:xfrm>
          <a:off x="7584526" y="12349681"/>
          <a:ext cx="2678906" cy="211286"/>
          <a:chOff x="7591425" y="12473632"/>
          <a:chExt cx="2686050" cy="213668"/>
        </a:xfrm>
      </xdr:grpSpPr>
      <xdr:sp macro="Mov036_Click" textlink="">
        <xdr:nvSpPr>
          <xdr:cNvPr id="675" name="R009L"/>
          <xdr:cNvSpPr/>
        </xdr:nvSpPr>
        <xdr:spPr bwMode="auto">
          <a:xfrm>
            <a:off x="7591425" y="1257300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6_Click" textlink="">
        <xdr:nvSpPr>
          <xdr:cNvPr id="676" name="R009R"/>
          <xdr:cNvSpPr/>
        </xdr:nvSpPr>
        <xdr:spPr bwMode="auto">
          <a:xfrm>
            <a:off x="10144125" y="125730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6_Click">
        <xdr:nvCxnSpPr>
          <xdr:cNvPr id="677" name="R009C"/>
          <xdr:cNvCxnSpPr>
            <a:stCxn id="675" idx="3"/>
            <a:endCxn id="676" idx="1"/>
          </xdr:cNvCxnSpPr>
        </xdr:nvCxnSpPr>
        <xdr:spPr bwMode="auto">
          <a:xfrm>
            <a:off x="7724775" y="12630150"/>
            <a:ext cx="24193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6_Click" textlink="">
        <xdr:nvSpPr>
          <xdr:cNvPr id="678" name="R009T"/>
          <xdr:cNvSpPr txBox="1"/>
        </xdr:nvSpPr>
        <xdr:spPr>
          <a:xfrm>
            <a:off x="7724775" y="12473632"/>
            <a:ext cx="637226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36.// Shelf life</a:t>
            </a:r>
          </a:p>
        </xdr:txBody>
      </xdr:sp>
    </xdr:grpSp>
    <xdr:clientData/>
  </xdr:twoCellAnchor>
  <xdr:twoCellAnchor>
    <xdr:from>
      <xdr:col>0</xdr:col>
      <xdr:colOff>1214682</xdr:colOff>
      <xdr:row>39</xdr:row>
      <xdr:rowOff>133868</xdr:rowOff>
    </xdr:from>
    <xdr:to>
      <xdr:col>8</xdr:col>
      <xdr:colOff>71682</xdr:colOff>
      <xdr:row>40</xdr:row>
      <xdr:rowOff>23686</xdr:rowOff>
    </xdr:to>
    <xdr:grpSp>
      <xdr:nvGrpSpPr>
        <xdr:cNvPr id="679" name="E013"/>
        <xdr:cNvGrpSpPr/>
      </xdr:nvGrpSpPr>
      <xdr:grpSpPr>
        <a:xfrm>
          <a:off x="1214682" y="12671149"/>
          <a:ext cx="9048750" cy="211287"/>
          <a:chOff x="1209675" y="12797482"/>
          <a:chExt cx="9067800" cy="213668"/>
        </a:xfrm>
      </xdr:grpSpPr>
      <xdr:sp macro="Mov037_Click" textlink="">
        <xdr:nvSpPr>
          <xdr:cNvPr id="680" name="E013L"/>
          <xdr:cNvSpPr/>
        </xdr:nvSpPr>
        <xdr:spPr bwMode="auto">
          <a:xfrm>
            <a:off x="1209675" y="1289685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7_Click" textlink="">
        <xdr:nvSpPr>
          <xdr:cNvPr id="681" name="E013R"/>
          <xdr:cNvSpPr/>
        </xdr:nvSpPr>
        <xdr:spPr bwMode="auto">
          <a:xfrm>
            <a:off x="10144125" y="128968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7_Click">
        <xdr:nvCxnSpPr>
          <xdr:cNvPr id="682" name="E013C"/>
          <xdr:cNvCxnSpPr>
            <a:stCxn id="680" idx="3"/>
            <a:endCxn id="681" idx="1"/>
          </xdr:cNvCxnSpPr>
        </xdr:nvCxnSpPr>
        <xdr:spPr bwMode="auto">
          <a:xfrm>
            <a:off x="1343025" y="12954000"/>
            <a:ext cx="88011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7_Click" textlink="">
        <xdr:nvSpPr>
          <xdr:cNvPr id="683" name="E013T"/>
          <xdr:cNvSpPr txBox="1"/>
        </xdr:nvSpPr>
        <xdr:spPr>
          <a:xfrm>
            <a:off x="1343025" y="12797482"/>
            <a:ext cx="1139927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37.// Set Expiration Date</a:t>
            </a:r>
          </a:p>
        </xdr:txBody>
      </xdr:sp>
    </xdr:grpSp>
    <xdr:clientData/>
  </xdr:twoCellAnchor>
  <xdr:twoCellAnchor>
    <xdr:from>
      <xdr:col>7</xdr:col>
      <xdr:colOff>1214682</xdr:colOff>
      <xdr:row>40</xdr:row>
      <xdr:rowOff>133868</xdr:rowOff>
    </xdr:from>
    <xdr:to>
      <xdr:col>9</xdr:col>
      <xdr:colOff>122105</xdr:colOff>
      <xdr:row>41</xdr:row>
      <xdr:rowOff>23686</xdr:rowOff>
    </xdr:to>
    <xdr:grpSp>
      <xdr:nvGrpSpPr>
        <xdr:cNvPr id="684" name="W007"/>
        <xdr:cNvGrpSpPr/>
      </xdr:nvGrpSpPr>
      <xdr:grpSpPr>
        <a:xfrm>
          <a:off x="10132463" y="12992618"/>
          <a:ext cx="1455361" cy="211287"/>
          <a:chOff x="10144125" y="13121332"/>
          <a:chExt cx="1460123" cy="213668"/>
        </a:xfrm>
      </xdr:grpSpPr>
      <xdr:sp macro="Mov038_Click" textlink="">
        <xdr:nvSpPr>
          <xdr:cNvPr id="685" name="W007L"/>
          <xdr:cNvSpPr/>
        </xdr:nvSpPr>
        <xdr:spPr bwMode="auto">
          <a:xfrm>
            <a:off x="10144125" y="1322070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8_Click" textlink="">
        <xdr:nvSpPr>
          <xdr:cNvPr id="686" name="W007R"/>
          <xdr:cNvSpPr/>
        </xdr:nvSpPr>
        <xdr:spPr bwMode="auto">
          <a:xfrm>
            <a:off x="11420475" y="132207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8_Click">
        <xdr:nvCxnSpPr>
          <xdr:cNvPr id="687" name="W007C"/>
          <xdr:cNvCxnSpPr>
            <a:stCxn id="685" idx="3"/>
            <a:endCxn id="686" idx="1"/>
          </xdr:cNvCxnSpPr>
        </xdr:nvCxnSpPr>
        <xdr:spPr bwMode="auto">
          <a:xfrm>
            <a:off x="10277475" y="132778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8_Click" textlink="">
        <xdr:nvSpPr>
          <xdr:cNvPr id="688" name="W007T"/>
          <xdr:cNvSpPr txBox="1"/>
        </xdr:nvSpPr>
        <xdr:spPr>
          <a:xfrm>
            <a:off x="10277475" y="13121332"/>
            <a:ext cx="1326773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38.// Remove from Inventory</a:t>
            </a:r>
          </a:p>
        </xdr:txBody>
      </xdr:sp>
    </xdr:grpSp>
    <xdr:clientData/>
  </xdr:twoCellAnchor>
  <xdr:twoCellAnchor>
    <xdr:from>
      <xdr:col>0</xdr:col>
      <xdr:colOff>1214682</xdr:colOff>
      <xdr:row>41</xdr:row>
      <xdr:rowOff>133868</xdr:rowOff>
    </xdr:from>
    <xdr:to>
      <xdr:col>10</xdr:col>
      <xdr:colOff>71682</xdr:colOff>
      <xdr:row>42</xdr:row>
      <xdr:rowOff>23686</xdr:rowOff>
    </xdr:to>
    <xdr:grpSp>
      <xdr:nvGrpSpPr>
        <xdr:cNvPr id="689" name="E014"/>
        <xdr:cNvGrpSpPr/>
      </xdr:nvGrpSpPr>
      <xdr:grpSpPr>
        <a:xfrm>
          <a:off x="1214682" y="13314087"/>
          <a:ext cx="11596688" cy="211287"/>
          <a:chOff x="1209675" y="13445182"/>
          <a:chExt cx="11620500" cy="213668"/>
        </a:xfrm>
      </xdr:grpSpPr>
      <xdr:sp macro="Mov039_Click" textlink="">
        <xdr:nvSpPr>
          <xdr:cNvPr id="690" name="E014L"/>
          <xdr:cNvSpPr/>
        </xdr:nvSpPr>
        <xdr:spPr bwMode="auto">
          <a:xfrm>
            <a:off x="1209675" y="1354455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39_Click" textlink="">
        <xdr:nvSpPr>
          <xdr:cNvPr id="691" name="E014R"/>
          <xdr:cNvSpPr/>
        </xdr:nvSpPr>
        <xdr:spPr bwMode="auto">
          <a:xfrm>
            <a:off x="12696825" y="135445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39_Click">
        <xdr:nvCxnSpPr>
          <xdr:cNvPr id="692" name="E014C"/>
          <xdr:cNvCxnSpPr>
            <a:stCxn id="690" idx="3"/>
            <a:endCxn id="691" idx="1"/>
          </xdr:cNvCxnSpPr>
        </xdr:nvCxnSpPr>
        <xdr:spPr bwMode="auto">
          <a:xfrm>
            <a:off x="1343025" y="1360170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39_Click" textlink="">
        <xdr:nvSpPr>
          <xdr:cNvPr id="693" name="E014T"/>
          <xdr:cNvSpPr txBox="1"/>
        </xdr:nvSpPr>
        <xdr:spPr>
          <a:xfrm>
            <a:off x="1343025" y="13445182"/>
            <a:ext cx="882678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39.// Select Recipe</a:t>
            </a:r>
          </a:p>
        </xdr:txBody>
      </xdr:sp>
    </xdr:grpSp>
    <xdr:clientData/>
  </xdr:twoCellAnchor>
  <xdr:twoCellAnchor>
    <xdr:from>
      <xdr:col>0</xdr:col>
      <xdr:colOff>85725</xdr:colOff>
      <xdr:row>38</xdr:row>
      <xdr:rowOff>204661</xdr:rowOff>
    </xdr:from>
    <xdr:to>
      <xdr:col>0</xdr:col>
      <xdr:colOff>546588</xdr:colOff>
      <xdr:row>40</xdr:row>
      <xdr:rowOff>272371</xdr:rowOff>
    </xdr:to>
    <xdr:grpSp>
      <xdr:nvGrpSpPr>
        <xdr:cNvPr id="694" name="T06"/>
        <xdr:cNvGrpSpPr/>
      </xdr:nvGrpSpPr>
      <xdr:grpSpPr>
        <a:xfrm>
          <a:off x="85725" y="12420474"/>
          <a:ext cx="460863" cy="710647"/>
          <a:chOff x="80718" y="12544425"/>
          <a:chExt cx="460863" cy="715410"/>
        </a:xfrm>
      </xdr:grpSpPr>
      <xdr:sp macro="Trg039_Click" textlink="">
        <xdr:nvSpPr>
          <xdr:cNvPr id="695" name="T06S"/>
          <xdr:cNvSpPr/>
        </xdr:nvSpPr>
        <xdr:spPr bwMode="auto">
          <a:xfrm>
            <a:off x="85725" y="1254442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39_Click" textlink="">
        <xdr:nvSpPr>
          <xdr:cNvPr id="696" name="T06T"/>
          <xdr:cNvSpPr txBox="1"/>
        </xdr:nvSpPr>
        <xdr:spPr>
          <a:xfrm>
            <a:off x="80718" y="1299527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Cook</a:t>
            </a:r>
          </a:p>
        </xdr:txBody>
      </xdr:sp>
    </xdr:grpSp>
    <xdr:clientData/>
  </xdr:twoCellAnchor>
  <xdr:twoCellAnchor>
    <xdr:from>
      <xdr:col>0</xdr:col>
      <xdr:colOff>316156</xdr:colOff>
      <xdr:row>40</xdr:row>
      <xdr:rowOff>272371</xdr:rowOff>
    </xdr:from>
    <xdr:to>
      <xdr:col>0</xdr:col>
      <xdr:colOff>1214681</xdr:colOff>
      <xdr:row>41</xdr:row>
      <xdr:rowOff>288642</xdr:rowOff>
    </xdr:to>
    <xdr:cxnSp macro="">
      <xdr:nvCxnSpPr>
        <xdr:cNvPr id="697" name="T06C"/>
        <xdr:cNvCxnSpPr>
          <a:stCxn id="696" idx="2"/>
          <a:endCxn id="690" idx="1"/>
        </xdr:cNvCxnSpPr>
      </xdr:nvCxnSpPr>
      <xdr:spPr bwMode="auto">
        <a:xfrm rot="16200000" flipH="1">
          <a:off x="596549" y="12850728"/>
          <a:ext cx="337740" cy="898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1214682</xdr:colOff>
      <xdr:row>42</xdr:row>
      <xdr:rowOff>133868</xdr:rowOff>
    </xdr:from>
    <xdr:to>
      <xdr:col>10</xdr:col>
      <xdr:colOff>71682</xdr:colOff>
      <xdr:row>43</xdr:row>
      <xdr:rowOff>23686</xdr:rowOff>
    </xdr:to>
    <xdr:grpSp>
      <xdr:nvGrpSpPr>
        <xdr:cNvPr id="698" name="R010"/>
        <xdr:cNvGrpSpPr/>
      </xdr:nvGrpSpPr>
      <xdr:grpSpPr>
        <a:xfrm>
          <a:off x="3762620" y="13635556"/>
          <a:ext cx="9048750" cy="211286"/>
          <a:chOff x="3762375" y="13769032"/>
          <a:chExt cx="9067800" cy="213668"/>
        </a:xfrm>
      </xdr:grpSpPr>
      <xdr:sp macro="Mov040_Click" textlink="">
        <xdr:nvSpPr>
          <xdr:cNvPr id="699" name="R010L"/>
          <xdr:cNvSpPr/>
        </xdr:nvSpPr>
        <xdr:spPr bwMode="auto">
          <a:xfrm>
            <a:off x="3762375" y="1386840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0_Click" textlink="">
        <xdr:nvSpPr>
          <xdr:cNvPr id="700" name="R010R"/>
          <xdr:cNvSpPr/>
        </xdr:nvSpPr>
        <xdr:spPr bwMode="auto">
          <a:xfrm>
            <a:off x="12696825" y="138684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0_Click">
        <xdr:nvCxnSpPr>
          <xdr:cNvPr id="701" name="R010C"/>
          <xdr:cNvCxnSpPr>
            <a:stCxn id="699" idx="3"/>
            <a:endCxn id="700" idx="1"/>
          </xdr:cNvCxnSpPr>
        </xdr:nvCxnSpPr>
        <xdr:spPr bwMode="auto">
          <a:xfrm>
            <a:off x="3895725" y="13925550"/>
            <a:ext cx="88011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0_Click" textlink="">
        <xdr:nvSpPr>
          <xdr:cNvPr id="702" name="R010T"/>
          <xdr:cNvSpPr txBox="1"/>
        </xdr:nvSpPr>
        <xdr:spPr>
          <a:xfrm>
            <a:off x="3895725" y="13769032"/>
            <a:ext cx="759952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40.// Get Recipe</a:t>
            </a:r>
          </a:p>
        </xdr:txBody>
      </xdr:sp>
    </xdr:grpSp>
    <xdr:clientData/>
  </xdr:twoCellAnchor>
  <xdr:twoCellAnchor>
    <xdr:from>
      <xdr:col>5</xdr:col>
      <xdr:colOff>1214682</xdr:colOff>
      <xdr:row>43</xdr:row>
      <xdr:rowOff>133868</xdr:rowOff>
    </xdr:from>
    <xdr:to>
      <xdr:col>10</xdr:col>
      <xdr:colOff>71682</xdr:colOff>
      <xdr:row>44</xdr:row>
      <xdr:rowOff>23686</xdr:rowOff>
    </xdr:to>
    <xdr:grpSp>
      <xdr:nvGrpSpPr>
        <xdr:cNvPr id="703" name="R011"/>
        <xdr:cNvGrpSpPr/>
      </xdr:nvGrpSpPr>
      <xdr:grpSpPr>
        <a:xfrm>
          <a:off x="7584526" y="13957024"/>
          <a:ext cx="5226844" cy="211287"/>
          <a:chOff x="7591425" y="14092882"/>
          <a:chExt cx="5238750" cy="213668"/>
        </a:xfrm>
      </xdr:grpSpPr>
      <xdr:sp macro="Mov041_Click" textlink="">
        <xdr:nvSpPr>
          <xdr:cNvPr id="704" name="R011L"/>
          <xdr:cNvSpPr/>
        </xdr:nvSpPr>
        <xdr:spPr bwMode="auto">
          <a:xfrm>
            <a:off x="7591425" y="1419225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1_Click" textlink="">
        <xdr:nvSpPr>
          <xdr:cNvPr id="705" name="R011R"/>
          <xdr:cNvSpPr/>
        </xdr:nvSpPr>
        <xdr:spPr bwMode="auto">
          <a:xfrm>
            <a:off x="12696825" y="141922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1_Click">
        <xdr:nvCxnSpPr>
          <xdr:cNvPr id="706" name="R011C"/>
          <xdr:cNvCxnSpPr>
            <a:stCxn id="704" idx="3"/>
            <a:endCxn id="705" idx="1"/>
          </xdr:cNvCxnSpPr>
        </xdr:nvCxnSpPr>
        <xdr:spPr bwMode="auto">
          <a:xfrm>
            <a:off x="7724775" y="14249400"/>
            <a:ext cx="49720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1_Click" textlink="">
        <xdr:nvSpPr>
          <xdr:cNvPr id="707" name="R011T"/>
          <xdr:cNvSpPr txBox="1"/>
        </xdr:nvSpPr>
        <xdr:spPr>
          <a:xfrm>
            <a:off x="7724775" y="14092882"/>
            <a:ext cx="1145826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41.// Get Food Attributes</a:t>
            </a:r>
          </a:p>
        </xdr:txBody>
      </xdr:sp>
    </xdr:grpSp>
    <xdr:clientData/>
  </xdr:twoCellAnchor>
  <xdr:twoCellAnchor>
    <xdr:from>
      <xdr:col>8</xdr:col>
      <xdr:colOff>1214682</xdr:colOff>
      <xdr:row>44</xdr:row>
      <xdr:rowOff>133868</xdr:rowOff>
    </xdr:from>
    <xdr:to>
      <xdr:col>10</xdr:col>
      <xdr:colOff>71682</xdr:colOff>
      <xdr:row>45</xdr:row>
      <xdr:rowOff>23686</xdr:rowOff>
    </xdr:to>
    <xdr:grpSp>
      <xdr:nvGrpSpPr>
        <xdr:cNvPr id="708" name="R012"/>
        <xdr:cNvGrpSpPr/>
      </xdr:nvGrpSpPr>
      <xdr:grpSpPr>
        <a:xfrm>
          <a:off x="11406432" y="14278493"/>
          <a:ext cx="1404938" cy="211287"/>
          <a:chOff x="11420475" y="14416732"/>
          <a:chExt cx="1409700" cy="213668"/>
        </a:xfrm>
      </xdr:grpSpPr>
      <xdr:sp macro="Mov042_Click" textlink="">
        <xdr:nvSpPr>
          <xdr:cNvPr id="709" name="R012L"/>
          <xdr:cNvSpPr/>
        </xdr:nvSpPr>
        <xdr:spPr bwMode="auto">
          <a:xfrm>
            <a:off x="11420475" y="1451610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2_Click" textlink="">
        <xdr:nvSpPr>
          <xdr:cNvPr id="710" name="R012R"/>
          <xdr:cNvSpPr/>
        </xdr:nvSpPr>
        <xdr:spPr bwMode="auto">
          <a:xfrm>
            <a:off x="12696825" y="145161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2_Click">
        <xdr:nvCxnSpPr>
          <xdr:cNvPr id="711" name="R012C"/>
          <xdr:cNvCxnSpPr>
            <a:stCxn id="709" idx="3"/>
            <a:endCxn id="710" idx="1"/>
          </xdr:cNvCxnSpPr>
        </xdr:nvCxnSpPr>
        <xdr:spPr bwMode="auto">
          <a:xfrm>
            <a:off x="11553825" y="145732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2_Click" textlink="">
        <xdr:nvSpPr>
          <xdr:cNvPr id="712" name="R012T"/>
          <xdr:cNvSpPr txBox="1"/>
        </xdr:nvSpPr>
        <xdr:spPr>
          <a:xfrm>
            <a:off x="11553825" y="14416732"/>
            <a:ext cx="993734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42.// Check Inventory</a:t>
            </a:r>
          </a:p>
        </xdr:txBody>
      </xdr:sp>
    </xdr:grpSp>
    <xdr:clientData/>
  </xdr:twoCellAnchor>
  <xdr:twoCellAnchor>
    <xdr:from>
      <xdr:col>0</xdr:col>
      <xdr:colOff>1214682</xdr:colOff>
      <xdr:row>45</xdr:row>
      <xdr:rowOff>133868</xdr:rowOff>
    </xdr:from>
    <xdr:to>
      <xdr:col>10</xdr:col>
      <xdr:colOff>71682</xdr:colOff>
      <xdr:row>46</xdr:row>
      <xdr:rowOff>23686</xdr:rowOff>
    </xdr:to>
    <xdr:grpSp>
      <xdr:nvGrpSpPr>
        <xdr:cNvPr id="713" name="X010"/>
        <xdr:cNvGrpSpPr/>
      </xdr:nvGrpSpPr>
      <xdr:grpSpPr>
        <a:xfrm>
          <a:off x="1214682" y="14599962"/>
          <a:ext cx="11596688" cy="211287"/>
          <a:chOff x="1209675" y="14740582"/>
          <a:chExt cx="11620500" cy="213668"/>
        </a:xfrm>
      </xdr:grpSpPr>
      <xdr:sp macro="Mov043_Click" textlink="">
        <xdr:nvSpPr>
          <xdr:cNvPr id="714" name="X010L"/>
          <xdr:cNvSpPr/>
        </xdr:nvSpPr>
        <xdr:spPr bwMode="auto">
          <a:xfrm>
            <a:off x="12696825" y="1483995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3_Click" textlink="">
        <xdr:nvSpPr>
          <xdr:cNvPr id="715" name="X010R"/>
          <xdr:cNvSpPr/>
        </xdr:nvSpPr>
        <xdr:spPr bwMode="auto">
          <a:xfrm>
            <a:off x="1209675" y="148399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3_Click">
        <xdr:nvCxnSpPr>
          <xdr:cNvPr id="716" name="X010C"/>
          <xdr:cNvCxnSpPr>
            <a:stCxn id="714" idx="1"/>
            <a:endCxn id="715" idx="3"/>
          </xdr:cNvCxnSpPr>
        </xdr:nvCxnSpPr>
        <xdr:spPr bwMode="auto">
          <a:xfrm flipH="1">
            <a:off x="1343025" y="1489710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3_Click" textlink="">
        <xdr:nvSpPr>
          <xdr:cNvPr id="717" name="X010T"/>
          <xdr:cNvSpPr txBox="1"/>
        </xdr:nvSpPr>
        <xdr:spPr>
          <a:xfrm>
            <a:off x="11428465" y="14740582"/>
            <a:ext cx="126842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43.// Plan Cooking Process</a:t>
            </a:r>
          </a:p>
        </xdr:txBody>
      </xdr:sp>
    </xdr:grpSp>
    <xdr:clientData/>
  </xdr:twoCellAnchor>
  <xdr:twoCellAnchor>
    <xdr:from>
      <xdr:col>0</xdr:col>
      <xdr:colOff>1214682</xdr:colOff>
      <xdr:row>46</xdr:row>
      <xdr:rowOff>133868</xdr:rowOff>
    </xdr:from>
    <xdr:to>
      <xdr:col>10</xdr:col>
      <xdr:colOff>71682</xdr:colOff>
      <xdr:row>47</xdr:row>
      <xdr:rowOff>23686</xdr:rowOff>
    </xdr:to>
    <xdr:grpSp>
      <xdr:nvGrpSpPr>
        <xdr:cNvPr id="718" name="E015"/>
        <xdr:cNvGrpSpPr/>
      </xdr:nvGrpSpPr>
      <xdr:grpSpPr>
        <a:xfrm>
          <a:off x="1214682" y="14921431"/>
          <a:ext cx="11596688" cy="211286"/>
          <a:chOff x="1209675" y="15064432"/>
          <a:chExt cx="11620500" cy="213668"/>
        </a:xfrm>
      </xdr:grpSpPr>
      <xdr:sp macro="Mov044_Click" textlink="">
        <xdr:nvSpPr>
          <xdr:cNvPr id="719" name="E015L"/>
          <xdr:cNvSpPr/>
        </xdr:nvSpPr>
        <xdr:spPr bwMode="auto">
          <a:xfrm>
            <a:off x="1209675" y="151638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4_Click" textlink="">
        <xdr:nvSpPr>
          <xdr:cNvPr id="720" name="E015R"/>
          <xdr:cNvSpPr/>
        </xdr:nvSpPr>
        <xdr:spPr bwMode="auto">
          <a:xfrm>
            <a:off x="12696825" y="151638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4_Click">
        <xdr:nvCxnSpPr>
          <xdr:cNvPr id="721" name="E015C"/>
          <xdr:cNvCxnSpPr>
            <a:stCxn id="719" idx="3"/>
            <a:endCxn id="720" idx="1"/>
          </xdr:cNvCxnSpPr>
        </xdr:nvCxnSpPr>
        <xdr:spPr bwMode="auto">
          <a:xfrm>
            <a:off x="1343025" y="1522095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44_Click" textlink="">
        <xdr:nvSpPr>
          <xdr:cNvPr id="722" name="E015T"/>
          <xdr:cNvSpPr txBox="1"/>
        </xdr:nvSpPr>
        <xdr:spPr>
          <a:xfrm>
            <a:off x="1343025" y="15064432"/>
            <a:ext cx="1437958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44.// Execute Cooking Process</a:t>
            </a:r>
          </a:p>
        </xdr:txBody>
      </xdr:sp>
    </xdr:grpSp>
    <xdr:clientData/>
  </xdr:twoCellAnchor>
  <xdr:twoCellAnchor>
    <xdr:from>
      <xdr:col>0</xdr:col>
      <xdr:colOff>85725</xdr:colOff>
      <xdr:row>43</xdr:row>
      <xdr:rowOff>204661</xdr:rowOff>
    </xdr:from>
    <xdr:to>
      <xdr:col>0</xdr:col>
      <xdr:colOff>546588</xdr:colOff>
      <xdr:row>45</xdr:row>
      <xdr:rowOff>272371</xdr:rowOff>
    </xdr:to>
    <xdr:grpSp>
      <xdr:nvGrpSpPr>
        <xdr:cNvPr id="723" name="T08"/>
        <xdr:cNvGrpSpPr/>
      </xdr:nvGrpSpPr>
      <xdr:grpSpPr>
        <a:xfrm>
          <a:off x="85725" y="14027817"/>
          <a:ext cx="460863" cy="710648"/>
          <a:chOff x="80718" y="14163675"/>
          <a:chExt cx="460863" cy="715410"/>
        </a:xfrm>
      </xdr:grpSpPr>
      <xdr:sp macro="Trg044_Click" textlink="">
        <xdr:nvSpPr>
          <xdr:cNvPr id="724" name="T08S"/>
          <xdr:cNvSpPr/>
        </xdr:nvSpPr>
        <xdr:spPr bwMode="auto">
          <a:xfrm>
            <a:off x="85725" y="1416367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44_Click" textlink="">
        <xdr:nvSpPr>
          <xdr:cNvPr id="725" name="T08T"/>
          <xdr:cNvSpPr txBox="1"/>
        </xdr:nvSpPr>
        <xdr:spPr>
          <a:xfrm>
            <a:off x="80718" y="1461452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Control</a:t>
            </a:r>
          </a:p>
        </xdr:txBody>
      </xdr:sp>
    </xdr:grpSp>
    <xdr:clientData/>
  </xdr:twoCellAnchor>
  <xdr:twoCellAnchor>
    <xdr:from>
      <xdr:col>0</xdr:col>
      <xdr:colOff>316157</xdr:colOff>
      <xdr:row>45</xdr:row>
      <xdr:rowOff>272370</xdr:rowOff>
    </xdr:from>
    <xdr:to>
      <xdr:col>0</xdr:col>
      <xdr:colOff>1214682</xdr:colOff>
      <xdr:row>46</xdr:row>
      <xdr:rowOff>288640</xdr:rowOff>
    </xdr:to>
    <xdr:cxnSp macro="">
      <xdr:nvCxnSpPr>
        <xdr:cNvPr id="726" name="T08C"/>
        <xdr:cNvCxnSpPr>
          <a:stCxn id="725" idx="2"/>
          <a:endCxn id="719" idx="1"/>
        </xdr:cNvCxnSpPr>
      </xdr:nvCxnSpPr>
      <xdr:spPr bwMode="auto">
        <a:xfrm rot="16200000" flipH="1">
          <a:off x="596550" y="14458071"/>
          <a:ext cx="337739" cy="898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1214682</xdr:colOff>
      <xdr:row>47</xdr:row>
      <xdr:rowOff>133868</xdr:rowOff>
    </xdr:from>
    <xdr:to>
      <xdr:col>10</xdr:col>
      <xdr:colOff>71682</xdr:colOff>
      <xdr:row>48</xdr:row>
      <xdr:rowOff>23686</xdr:rowOff>
    </xdr:to>
    <xdr:grpSp>
      <xdr:nvGrpSpPr>
        <xdr:cNvPr id="727" name="W008"/>
        <xdr:cNvGrpSpPr/>
      </xdr:nvGrpSpPr>
      <xdr:grpSpPr>
        <a:xfrm>
          <a:off x="11406432" y="15242899"/>
          <a:ext cx="1404938" cy="211287"/>
          <a:chOff x="11420475" y="15388282"/>
          <a:chExt cx="1409700" cy="213668"/>
        </a:xfrm>
      </xdr:grpSpPr>
      <xdr:sp macro="Mov045_Click" textlink="">
        <xdr:nvSpPr>
          <xdr:cNvPr id="728" name="W008L"/>
          <xdr:cNvSpPr/>
        </xdr:nvSpPr>
        <xdr:spPr bwMode="auto">
          <a:xfrm>
            <a:off x="12696825" y="1548765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5_Click" textlink="">
        <xdr:nvSpPr>
          <xdr:cNvPr id="729" name="W008R"/>
          <xdr:cNvSpPr/>
        </xdr:nvSpPr>
        <xdr:spPr bwMode="auto">
          <a:xfrm>
            <a:off x="11420475" y="154876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5_Click">
        <xdr:nvCxnSpPr>
          <xdr:cNvPr id="730" name="W008C"/>
          <xdr:cNvCxnSpPr>
            <a:stCxn id="728" idx="1"/>
            <a:endCxn id="729" idx="3"/>
          </xdr:cNvCxnSpPr>
        </xdr:nvCxnSpPr>
        <xdr:spPr bwMode="auto">
          <a:xfrm flipH="1">
            <a:off x="11553825" y="155448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45_Click" textlink="">
        <xdr:nvSpPr>
          <xdr:cNvPr id="731" name="W008T"/>
          <xdr:cNvSpPr txBox="1"/>
        </xdr:nvSpPr>
        <xdr:spPr>
          <a:xfrm>
            <a:off x="11662119" y="15388282"/>
            <a:ext cx="1034771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45.// Update Inventory</a:t>
            </a:r>
          </a:p>
        </xdr:txBody>
      </xdr:sp>
    </xdr:grpSp>
    <xdr:clientData/>
  </xdr:twoCellAnchor>
  <xdr:twoCellAnchor>
    <xdr:from>
      <xdr:col>9</xdr:col>
      <xdr:colOff>1214682</xdr:colOff>
      <xdr:row>48</xdr:row>
      <xdr:rowOff>133868</xdr:rowOff>
    </xdr:from>
    <xdr:to>
      <xdr:col>11</xdr:col>
      <xdr:colOff>71682</xdr:colOff>
      <xdr:row>49</xdr:row>
      <xdr:rowOff>23686</xdr:rowOff>
    </xdr:to>
    <xdr:grpSp>
      <xdr:nvGrpSpPr>
        <xdr:cNvPr id="732" name="X011"/>
        <xdr:cNvGrpSpPr/>
      </xdr:nvGrpSpPr>
      <xdr:grpSpPr>
        <a:xfrm>
          <a:off x="12680401" y="15564368"/>
          <a:ext cx="1404937" cy="211287"/>
          <a:chOff x="12696825" y="15712132"/>
          <a:chExt cx="1409700" cy="213668"/>
        </a:xfrm>
      </xdr:grpSpPr>
      <xdr:sp macro="Mov046_Click" textlink="">
        <xdr:nvSpPr>
          <xdr:cNvPr id="733" name="X011L"/>
          <xdr:cNvSpPr/>
        </xdr:nvSpPr>
        <xdr:spPr bwMode="auto">
          <a:xfrm>
            <a:off x="12696825" y="15811500"/>
            <a:ext cx="133350" cy="114300"/>
          </a:xfrm>
          <a:prstGeom prst="diamond">
            <a:avLst/>
          </a:prstGeom>
          <a:solidFill>
            <a:srgbClr val="9BBB5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6_Click" textlink="">
        <xdr:nvSpPr>
          <xdr:cNvPr id="734" name="X011R"/>
          <xdr:cNvSpPr/>
        </xdr:nvSpPr>
        <xdr:spPr bwMode="auto">
          <a:xfrm>
            <a:off x="13973175" y="158115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6_Click">
        <xdr:nvCxnSpPr>
          <xdr:cNvPr id="735" name="X011C"/>
          <xdr:cNvCxnSpPr>
            <a:stCxn id="733" idx="3"/>
            <a:endCxn id="734" idx="1"/>
          </xdr:cNvCxnSpPr>
        </xdr:nvCxnSpPr>
        <xdr:spPr bwMode="auto">
          <a:xfrm>
            <a:off x="12830175" y="1586865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BBB59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46_Click" textlink="">
        <xdr:nvSpPr>
          <xdr:cNvPr id="736" name="X011T"/>
          <xdr:cNvSpPr txBox="1"/>
        </xdr:nvSpPr>
        <xdr:spPr>
          <a:xfrm>
            <a:off x="12830175" y="15712132"/>
            <a:ext cx="97616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46.// Start Monitoring</a:t>
            </a:r>
          </a:p>
        </xdr:txBody>
      </xdr:sp>
    </xdr:grpSp>
    <xdr:clientData/>
  </xdr:twoCellAnchor>
  <xdr:twoCellAnchor>
    <xdr:from>
      <xdr:col>9</xdr:col>
      <xdr:colOff>1214682</xdr:colOff>
      <xdr:row>49</xdr:row>
      <xdr:rowOff>133868</xdr:rowOff>
    </xdr:from>
    <xdr:to>
      <xdr:col>11</xdr:col>
      <xdr:colOff>71682</xdr:colOff>
      <xdr:row>50</xdr:row>
      <xdr:rowOff>23686</xdr:rowOff>
    </xdr:to>
    <xdr:grpSp>
      <xdr:nvGrpSpPr>
        <xdr:cNvPr id="737" name="E016"/>
        <xdr:cNvGrpSpPr/>
      </xdr:nvGrpSpPr>
      <xdr:grpSpPr>
        <a:xfrm>
          <a:off x="12680401" y="15885837"/>
          <a:ext cx="1404937" cy="211287"/>
          <a:chOff x="12696825" y="16035982"/>
          <a:chExt cx="1409700" cy="213668"/>
        </a:xfrm>
      </xdr:grpSpPr>
      <xdr:sp macro="Mov047_Click" textlink="">
        <xdr:nvSpPr>
          <xdr:cNvPr id="738" name="E016L"/>
          <xdr:cNvSpPr/>
        </xdr:nvSpPr>
        <xdr:spPr bwMode="auto">
          <a:xfrm>
            <a:off x="13973175" y="16135350"/>
            <a:ext cx="133350" cy="114300"/>
          </a:xfrm>
          <a:prstGeom prst="diamond">
            <a:avLst/>
          </a:prstGeom>
          <a:solidFill>
            <a:srgbClr val="4F6228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7_Click" textlink="">
        <xdr:nvSpPr>
          <xdr:cNvPr id="739" name="E016R"/>
          <xdr:cNvSpPr/>
        </xdr:nvSpPr>
        <xdr:spPr bwMode="auto">
          <a:xfrm>
            <a:off x="12696825" y="161353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7_Click">
        <xdr:nvCxnSpPr>
          <xdr:cNvPr id="740" name="E016C"/>
          <xdr:cNvCxnSpPr>
            <a:stCxn id="738" idx="1"/>
            <a:endCxn id="739" idx="3"/>
          </xdr:cNvCxnSpPr>
        </xdr:nvCxnSpPr>
        <xdr:spPr bwMode="auto">
          <a:xfrm flipH="1">
            <a:off x="12830175" y="16192500"/>
            <a:ext cx="11430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F6228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47_Click" textlink="">
        <xdr:nvSpPr>
          <xdr:cNvPr id="741" name="E016T"/>
          <xdr:cNvSpPr txBox="1"/>
        </xdr:nvSpPr>
        <xdr:spPr>
          <a:xfrm>
            <a:off x="13388720" y="16035982"/>
            <a:ext cx="584520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47.// Monitor</a:t>
            </a:r>
          </a:p>
        </xdr:txBody>
      </xdr:sp>
    </xdr:grpSp>
    <xdr:clientData/>
  </xdr:twoCellAnchor>
  <xdr:twoCellAnchor>
    <xdr:from>
      <xdr:col>9</xdr:col>
      <xdr:colOff>1214682</xdr:colOff>
      <xdr:row>50</xdr:row>
      <xdr:rowOff>133868</xdr:rowOff>
    </xdr:from>
    <xdr:to>
      <xdr:col>12</xdr:col>
      <xdr:colOff>71682</xdr:colOff>
      <xdr:row>51</xdr:row>
      <xdr:rowOff>23686</xdr:rowOff>
    </xdr:to>
    <xdr:grpSp>
      <xdr:nvGrpSpPr>
        <xdr:cNvPr id="742" name="X012"/>
        <xdr:cNvGrpSpPr/>
      </xdr:nvGrpSpPr>
      <xdr:grpSpPr>
        <a:xfrm>
          <a:off x="12680401" y="16207306"/>
          <a:ext cx="2678906" cy="211286"/>
          <a:chOff x="12696825" y="16359832"/>
          <a:chExt cx="2686050" cy="213668"/>
        </a:xfrm>
      </xdr:grpSpPr>
      <xdr:sp macro="Mov048_Click" textlink="">
        <xdr:nvSpPr>
          <xdr:cNvPr id="743" name="X012L"/>
          <xdr:cNvSpPr/>
        </xdr:nvSpPr>
        <xdr:spPr bwMode="auto">
          <a:xfrm>
            <a:off x="12696825" y="16459200"/>
            <a:ext cx="133350" cy="114300"/>
          </a:xfrm>
          <a:prstGeom prst="diamond">
            <a:avLst/>
          </a:prstGeom>
          <a:solidFill>
            <a:srgbClr val="9BBB5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8_Click" textlink="">
        <xdr:nvSpPr>
          <xdr:cNvPr id="744" name="X012R"/>
          <xdr:cNvSpPr/>
        </xdr:nvSpPr>
        <xdr:spPr bwMode="auto">
          <a:xfrm>
            <a:off x="15249525" y="164592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8_Click">
        <xdr:nvCxnSpPr>
          <xdr:cNvPr id="745" name="X012C"/>
          <xdr:cNvCxnSpPr>
            <a:stCxn id="743" idx="3"/>
            <a:endCxn id="744" idx="1"/>
          </xdr:cNvCxnSpPr>
        </xdr:nvCxnSpPr>
        <xdr:spPr bwMode="auto">
          <a:xfrm>
            <a:off x="12830175" y="16516350"/>
            <a:ext cx="24193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BBB59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48_Click" textlink="">
        <xdr:nvSpPr>
          <xdr:cNvPr id="746" name="X012T"/>
          <xdr:cNvSpPr txBox="1"/>
        </xdr:nvSpPr>
        <xdr:spPr>
          <a:xfrm>
            <a:off x="12830175" y="16359832"/>
            <a:ext cx="824200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48.// Control Heat</a:t>
            </a:r>
          </a:p>
        </xdr:txBody>
      </xdr:sp>
    </xdr:grpSp>
    <xdr:clientData/>
  </xdr:twoCellAnchor>
  <xdr:twoCellAnchor>
    <xdr:from>
      <xdr:col>9</xdr:col>
      <xdr:colOff>1214682</xdr:colOff>
      <xdr:row>51</xdr:row>
      <xdr:rowOff>133868</xdr:rowOff>
    </xdr:from>
    <xdr:to>
      <xdr:col>12</xdr:col>
      <xdr:colOff>71682</xdr:colOff>
      <xdr:row>52</xdr:row>
      <xdr:rowOff>23686</xdr:rowOff>
    </xdr:to>
    <xdr:grpSp>
      <xdr:nvGrpSpPr>
        <xdr:cNvPr id="747" name="E017"/>
        <xdr:cNvGrpSpPr/>
      </xdr:nvGrpSpPr>
      <xdr:grpSpPr>
        <a:xfrm>
          <a:off x="12680401" y="16528774"/>
          <a:ext cx="2678906" cy="211287"/>
          <a:chOff x="12696825" y="16683682"/>
          <a:chExt cx="2686050" cy="213668"/>
        </a:xfrm>
      </xdr:grpSpPr>
      <xdr:sp macro="Mov049_Click" textlink="">
        <xdr:nvSpPr>
          <xdr:cNvPr id="748" name="E017L"/>
          <xdr:cNvSpPr/>
        </xdr:nvSpPr>
        <xdr:spPr bwMode="auto">
          <a:xfrm>
            <a:off x="15249525" y="16783050"/>
            <a:ext cx="133350" cy="114300"/>
          </a:xfrm>
          <a:prstGeom prst="diamond">
            <a:avLst/>
          </a:prstGeom>
          <a:solidFill>
            <a:srgbClr val="4F6228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49_Click" textlink="">
        <xdr:nvSpPr>
          <xdr:cNvPr id="749" name="E017R"/>
          <xdr:cNvSpPr/>
        </xdr:nvSpPr>
        <xdr:spPr bwMode="auto">
          <a:xfrm>
            <a:off x="12696825" y="167830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49_Click">
        <xdr:nvCxnSpPr>
          <xdr:cNvPr id="750" name="E017C"/>
          <xdr:cNvCxnSpPr>
            <a:stCxn id="748" idx="1"/>
            <a:endCxn id="749" idx="3"/>
          </xdr:cNvCxnSpPr>
        </xdr:nvCxnSpPr>
        <xdr:spPr bwMode="auto">
          <a:xfrm flipH="1">
            <a:off x="12830175" y="16840200"/>
            <a:ext cx="24193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F6228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49_Click" textlink="">
        <xdr:nvSpPr>
          <xdr:cNvPr id="751" name="E017T"/>
          <xdr:cNvSpPr txBox="1"/>
        </xdr:nvSpPr>
        <xdr:spPr>
          <a:xfrm>
            <a:off x="14372682" y="16683682"/>
            <a:ext cx="876908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49.// Report Status</a:t>
            </a:r>
          </a:p>
        </xdr:txBody>
      </xdr:sp>
    </xdr:grpSp>
    <xdr:clientData/>
  </xdr:twoCellAnchor>
  <xdr:twoCellAnchor>
    <xdr:from>
      <xdr:col>9</xdr:col>
      <xdr:colOff>1214682</xdr:colOff>
      <xdr:row>52</xdr:row>
      <xdr:rowOff>133868</xdr:rowOff>
    </xdr:from>
    <xdr:to>
      <xdr:col>13</xdr:col>
      <xdr:colOff>71682</xdr:colOff>
      <xdr:row>53</xdr:row>
      <xdr:rowOff>23686</xdr:rowOff>
    </xdr:to>
    <xdr:grpSp>
      <xdr:nvGrpSpPr>
        <xdr:cNvPr id="752" name="X013"/>
        <xdr:cNvGrpSpPr/>
      </xdr:nvGrpSpPr>
      <xdr:grpSpPr>
        <a:xfrm>
          <a:off x="12680401" y="16850243"/>
          <a:ext cx="3952875" cy="211287"/>
          <a:chOff x="12696825" y="17007532"/>
          <a:chExt cx="3962400" cy="213668"/>
        </a:xfrm>
      </xdr:grpSpPr>
      <xdr:sp macro="Mov050_Click" textlink="">
        <xdr:nvSpPr>
          <xdr:cNvPr id="753" name="X013L"/>
          <xdr:cNvSpPr/>
        </xdr:nvSpPr>
        <xdr:spPr bwMode="auto">
          <a:xfrm>
            <a:off x="12696825" y="17106900"/>
            <a:ext cx="133350" cy="114300"/>
          </a:xfrm>
          <a:prstGeom prst="diamond">
            <a:avLst/>
          </a:prstGeom>
          <a:solidFill>
            <a:srgbClr val="9BBB5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0_Click" textlink="">
        <xdr:nvSpPr>
          <xdr:cNvPr id="754" name="X013R"/>
          <xdr:cNvSpPr/>
        </xdr:nvSpPr>
        <xdr:spPr bwMode="auto">
          <a:xfrm>
            <a:off x="16525875" y="171069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0_Click">
        <xdr:nvCxnSpPr>
          <xdr:cNvPr id="755" name="X013C"/>
          <xdr:cNvCxnSpPr>
            <a:stCxn id="753" idx="3"/>
            <a:endCxn id="754" idx="1"/>
          </xdr:cNvCxnSpPr>
        </xdr:nvCxnSpPr>
        <xdr:spPr bwMode="auto">
          <a:xfrm>
            <a:off x="12830175" y="17164050"/>
            <a:ext cx="36957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BBB59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50_Click" textlink="">
        <xdr:nvSpPr>
          <xdr:cNvPr id="756" name="X013T"/>
          <xdr:cNvSpPr txBox="1"/>
        </xdr:nvSpPr>
        <xdr:spPr>
          <a:xfrm>
            <a:off x="12830175" y="17007532"/>
            <a:ext cx="97616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50.// Start Monitoring</a:t>
            </a:r>
          </a:p>
        </xdr:txBody>
      </xdr:sp>
    </xdr:grpSp>
    <xdr:clientData/>
  </xdr:twoCellAnchor>
  <xdr:twoCellAnchor>
    <xdr:from>
      <xdr:col>9</xdr:col>
      <xdr:colOff>1214682</xdr:colOff>
      <xdr:row>53</xdr:row>
      <xdr:rowOff>133868</xdr:rowOff>
    </xdr:from>
    <xdr:to>
      <xdr:col>13</xdr:col>
      <xdr:colOff>71682</xdr:colOff>
      <xdr:row>54</xdr:row>
      <xdr:rowOff>23686</xdr:rowOff>
    </xdr:to>
    <xdr:grpSp>
      <xdr:nvGrpSpPr>
        <xdr:cNvPr id="757" name="E018"/>
        <xdr:cNvGrpSpPr/>
      </xdr:nvGrpSpPr>
      <xdr:grpSpPr>
        <a:xfrm>
          <a:off x="12680401" y="17171712"/>
          <a:ext cx="3952875" cy="211287"/>
          <a:chOff x="12696825" y="17331382"/>
          <a:chExt cx="3962400" cy="213668"/>
        </a:xfrm>
      </xdr:grpSpPr>
      <xdr:sp macro="Mov051_Click" textlink="">
        <xdr:nvSpPr>
          <xdr:cNvPr id="758" name="E018L"/>
          <xdr:cNvSpPr/>
        </xdr:nvSpPr>
        <xdr:spPr bwMode="auto">
          <a:xfrm>
            <a:off x="16525875" y="17430750"/>
            <a:ext cx="133350" cy="114300"/>
          </a:xfrm>
          <a:prstGeom prst="diamond">
            <a:avLst/>
          </a:prstGeom>
          <a:solidFill>
            <a:srgbClr val="4F6228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1_Click" textlink="">
        <xdr:nvSpPr>
          <xdr:cNvPr id="759" name="E018R"/>
          <xdr:cNvSpPr/>
        </xdr:nvSpPr>
        <xdr:spPr bwMode="auto">
          <a:xfrm>
            <a:off x="12696825" y="174307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1_Click">
        <xdr:nvCxnSpPr>
          <xdr:cNvPr id="760" name="E018C"/>
          <xdr:cNvCxnSpPr>
            <a:stCxn id="758" idx="1"/>
            <a:endCxn id="759" idx="3"/>
          </xdr:cNvCxnSpPr>
        </xdr:nvCxnSpPr>
        <xdr:spPr bwMode="auto">
          <a:xfrm flipH="1">
            <a:off x="12830175" y="17487900"/>
            <a:ext cx="36957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F6228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51_Click" textlink="">
        <xdr:nvSpPr>
          <xdr:cNvPr id="761" name="E018T"/>
          <xdr:cNvSpPr txBox="1"/>
        </xdr:nvSpPr>
        <xdr:spPr>
          <a:xfrm>
            <a:off x="15941420" y="17331382"/>
            <a:ext cx="584520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51.// Monitor</a:t>
            </a:r>
          </a:p>
        </xdr:txBody>
      </xdr:sp>
    </xdr:grpSp>
    <xdr:clientData/>
  </xdr:twoCellAnchor>
  <xdr:twoCellAnchor>
    <xdr:from>
      <xdr:col>9</xdr:col>
      <xdr:colOff>1214682</xdr:colOff>
      <xdr:row>54</xdr:row>
      <xdr:rowOff>133868</xdr:rowOff>
    </xdr:from>
    <xdr:to>
      <xdr:col>13</xdr:col>
      <xdr:colOff>71682</xdr:colOff>
      <xdr:row>55</xdr:row>
      <xdr:rowOff>23686</xdr:rowOff>
    </xdr:to>
    <xdr:grpSp>
      <xdr:nvGrpSpPr>
        <xdr:cNvPr id="762" name="X014"/>
        <xdr:cNvGrpSpPr/>
      </xdr:nvGrpSpPr>
      <xdr:grpSpPr>
        <a:xfrm>
          <a:off x="12680401" y="17493181"/>
          <a:ext cx="3952875" cy="211286"/>
          <a:chOff x="12696825" y="17655232"/>
          <a:chExt cx="3962400" cy="213668"/>
        </a:xfrm>
      </xdr:grpSpPr>
      <xdr:sp macro="Mov052_Click" textlink="">
        <xdr:nvSpPr>
          <xdr:cNvPr id="763" name="X014L"/>
          <xdr:cNvSpPr/>
        </xdr:nvSpPr>
        <xdr:spPr bwMode="auto">
          <a:xfrm>
            <a:off x="12696825" y="17754600"/>
            <a:ext cx="133350" cy="114300"/>
          </a:xfrm>
          <a:prstGeom prst="diamond">
            <a:avLst/>
          </a:prstGeom>
          <a:solidFill>
            <a:srgbClr val="9BBB5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2_Click" textlink="">
        <xdr:nvSpPr>
          <xdr:cNvPr id="764" name="X014R"/>
          <xdr:cNvSpPr/>
        </xdr:nvSpPr>
        <xdr:spPr bwMode="auto">
          <a:xfrm>
            <a:off x="16525875" y="177546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2_Click">
        <xdr:nvCxnSpPr>
          <xdr:cNvPr id="765" name="X014C"/>
          <xdr:cNvCxnSpPr>
            <a:stCxn id="763" idx="3"/>
            <a:endCxn id="764" idx="1"/>
          </xdr:cNvCxnSpPr>
        </xdr:nvCxnSpPr>
        <xdr:spPr bwMode="auto">
          <a:xfrm>
            <a:off x="12830175" y="17811750"/>
            <a:ext cx="36957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BBB59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52_Click" textlink="">
        <xdr:nvSpPr>
          <xdr:cNvPr id="766" name="X014T"/>
          <xdr:cNvSpPr txBox="1"/>
        </xdr:nvSpPr>
        <xdr:spPr>
          <a:xfrm>
            <a:off x="12830175" y="17655232"/>
            <a:ext cx="824200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52.// Control Heat</a:t>
            </a:r>
          </a:p>
        </xdr:txBody>
      </xdr:sp>
    </xdr:grpSp>
    <xdr:clientData/>
  </xdr:twoCellAnchor>
  <xdr:twoCellAnchor>
    <xdr:from>
      <xdr:col>9</xdr:col>
      <xdr:colOff>1214682</xdr:colOff>
      <xdr:row>55</xdr:row>
      <xdr:rowOff>133868</xdr:rowOff>
    </xdr:from>
    <xdr:to>
      <xdr:col>13</xdr:col>
      <xdr:colOff>71682</xdr:colOff>
      <xdr:row>56</xdr:row>
      <xdr:rowOff>23686</xdr:rowOff>
    </xdr:to>
    <xdr:grpSp>
      <xdr:nvGrpSpPr>
        <xdr:cNvPr id="767" name="E019"/>
        <xdr:cNvGrpSpPr/>
      </xdr:nvGrpSpPr>
      <xdr:grpSpPr>
        <a:xfrm>
          <a:off x="12680401" y="17814649"/>
          <a:ext cx="3952875" cy="211287"/>
          <a:chOff x="12696825" y="17979082"/>
          <a:chExt cx="3962400" cy="213668"/>
        </a:xfrm>
      </xdr:grpSpPr>
      <xdr:sp macro="Mov053_Click" textlink="">
        <xdr:nvSpPr>
          <xdr:cNvPr id="768" name="E019L"/>
          <xdr:cNvSpPr/>
        </xdr:nvSpPr>
        <xdr:spPr bwMode="auto">
          <a:xfrm>
            <a:off x="16525875" y="18078450"/>
            <a:ext cx="133350" cy="114300"/>
          </a:xfrm>
          <a:prstGeom prst="diamond">
            <a:avLst/>
          </a:prstGeom>
          <a:solidFill>
            <a:srgbClr val="4F6228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3_Click" textlink="">
        <xdr:nvSpPr>
          <xdr:cNvPr id="769" name="E019R"/>
          <xdr:cNvSpPr/>
        </xdr:nvSpPr>
        <xdr:spPr bwMode="auto">
          <a:xfrm>
            <a:off x="12696825" y="180784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3_Click">
        <xdr:nvCxnSpPr>
          <xdr:cNvPr id="770" name="E019C"/>
          <xdr:cNvCxnSpPr>
            <a:stCxn id="768" idx="1"/>
            <a:endCxn id="769" idx="3"/>
          </xdr:cNvCxnSpPr>
        </xdr:nvCxnSpPr>
        <xdr:spPr bwMode="auto">
          <a:xfrm flipH="1">
            <a:off x="12830175" y="18135600"/>
            <a:ext cx="36957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F6228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53_Click" textlink="">
        <xdr:nvSpPr>
          <xdr:cNvPr id="771" name="E019T"/>
          <xdr:cNvSpPr txBox="1"/>
        </xdr:nvSpPr>
        <xdr:spPr>
          <a:xfrm>
            <a:off x="15649032" y="17979082"/>
            <a:ext cx="876908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53.// Report Status</a:t>
            </a:r>
          </a:p>
        </xdr:txBody>
      </xdr:sp>
    </xdr:grpSp>
    <xdr:clientData/>
  </xdr:twoCellAnchor>
  <xdr:twoCellAnchor>
    <xdr:from>
      <xdr:col>0</xdr:col>
      <xdr:colOff>1214682</xdr:colOff>
      <xdr:row>56</xdr:row>
      <xdr:rowOff>133868</xdr:rowOff>
    </xdr:from>
    <xdr:to>
      <xdr:col>10</xdr:col>
      <xdr:colOff>71682</xdr:colOff>
      <xdr:row>57</xdr:row>
      <xdr:rowOff>23686</xdr:rowOff>
    </xdr:to>
    <xdr:grpSp>
      <xdr:nvGrpSpPr>
        <xdr:cNvPr id="772" name="X015"/>
        <xdr:cNvGrpSpPr/>
      </xdr:nvGrpSpPr>
      <xdr:grpSpPr>
        <a:xfrm>
          <a:off x="1214682" y="18136118"/>
          <a:ext cx="11596688" cy="211287"/>
          <a:chOff x="1209675" y="18302932"/>
          <a:chExt cx="11620500" cy="213668"/>
        </a:xfrm>
      </xdr:grpSpPr>
      <xdr:sp macro="Mov054_Click" textlink="">
        <xdr:nvSpPr>
          <xdr:cNvPr id="773" name="X015L"/>
          <xdr:cNvSpPr/>
        </xdr:nvSpPr>
        <xdr:spPr bwMode="auto">
          <a:xfrm>
            <a:off x="12696825" y="1840230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4_Click" textlink="">
        <xdr:nvSpPr>
          <xdr:cNvPr id="774" name="X015R"/>
          <xdr:cNvSpPr/>
        </xdr:nvSpPr>
        <xdr:spPr bwMode="auto">
          <a:xfrm>
            <a:off x="1209675" y="184023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4_Click">
        <xdr:nvCxnSpPr>
          <xdr:cNvPr id="775" name="X015C"/>
          <xdr:cNvCxnSpPr>
            <a:stCxn id="773" idx="1"/>
            <a:endCxn id="774" idx="3"/>
          </xdr:cNvCxnSpPr>
        </xdr:nvCxnSpPr>
        <xdr:spPr bwMode="auto">
          <a:xfrm flipH="1">
            <a:off x="1343025" y="1845945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>
                      <a:alpha val="40000"/>
                    </a:srgbClr>
                  </a:outerShdw>
                </a:effectLst>
              </a14:hiddenEffects>
            </a:ext>
          </a:extLst>
        </xdr:spPr>
      </xdr:cxnSp>
      <xdr:sp macro="Mov054_Click" textlink="">
        <xdr:nvSpPr>
          <xdr:cNvPr id="776" name="X015T"/>
          <xdr:cNvSpPr txBox="1"/>
        </xdr:nvSpPr>
        <xdr:spPr>
          <a:xfrm>
            <a:off x="11972075" y="18302932"/>
            <a:ext cx="72481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54.// Alert Cook</a:t>
            </a:r>
          </a:p>
        </xdr:txBody>
      </xdr:sp>
    </xdr:grpSp>
    <xdr:clientData/>
  </xdr:twoCellAnchor>
  <xdr:twoCellAnchor>
    <xdr:from>
      <xdr:col>0</xdr:col>
      <xdr:colOff>1214682</xdr:colOff>
      <xdr:row>57</xdr:row>
      <xdr:rowOff>133868</xdr:rowOff>
    </xdr:from>
    <xdr:to>
      <xdr:col>10</xdr:col>
      <xdr:colOff>71682</xdr:colOff>
      <xdr:row>58</xdr:row>
      <xdr:rowOff>23686</xdr:rowOff>
    </xdr:to>
    <xdr:grpSp>
      <xdr:nvGrpSpPr>
        <xdr:cNvPr id="777" name="E020"/>
        <xdr:cNvGrpSpPr/>
      </xdr:nvGrpSpPr>
      <xdr:grpSpPr>
        <a:xfrm>
          <a:off x="1214682" y="18457587"/>
          <a:ext cx="11596688" cy="211287"/>
          <a:chOff x="1209675" y="18626782"/>
          <a:chExt cx="11620500" cy="213668"/>
        </a:xfrm>
      </xdr:grpSpPr>
      <xdr:sp macro="Mov055_Click" textlink="">
        <xdr:nvSpPr>
          <xdr:cNvPr id="778" name="E020L"/>
          <xdr:cNvSpPr/>
        </xdr:nvSpPr>
        <xdr:spPr bwMode="auto">
          <a:xfrm>
            <a:off x="1209675" y="1872615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5_Click" textlink="">
        <xdr:nvSpPr>
          <xdr:cNvPr id="779" name="E020R"/>
          <xdr:cNvSpPr/>
        </xdr:nvSpPr>
        <xdr:spPr bwMode="auto">
          <a:xfrm>
            <a:off x="12696825" y="187261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5_Click">
        <xdr:nvCxnSpPr>
          <xdr:cNvPr id="780" name="E020C"/>
          <xdr:cNvCxnSpPr>
            <a:stCxn id="778" idx="3"/>
            <a:endCxn id="779" idx="1"/>
          </xdr:cNvCxnSpPr>
        </xdr:nvCxnSpPr>
        <xdr:spPr bwMode="auto">
          <a:xfrm>
            <a:off x="1343025" y="1878330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5_Click" textlink="">
        <xdr:nvSpPr>
          <xdr:cNvPr id="781" name="E020T"/>
          <xdr:cNvSpPr txBox="1"/>
        </xdr:nvSpPr>
        <xdr:spPr>
          <a:xfrm>
            <a:off x="1343025" y="18626782"/>
            <a:ext cx="91781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55.// Adapt Process</a:t>
            </a:r>
          </a:p>
        </xdr:txBody>
      </xdr:sp>
    </xdr:grpSp>
    <xdr:clientData/>
  </xdr:twoCellAnchor>
  <xdr:twoCellAnchor>
    <xdr:from>
      <xdr:col>0</xdr:col>
      <xdr:colOff>1214682</xdr:colOff>
      <xdr:row>58</xdr:row>
      <xdr:rowOff>133868</xdr:rowOff>
    </xdr:from>
    <xdr:to>
      <xdr:col>10</xdr:col>
      <xdr:colOff>71682</xdr:colOff>
      <xdr:row>59</xdr:row>
      <xdr:rowOff>23686</xdr:rowOff>
    </xdr:to>
    <xdr:grpSp>
      <xdr:nvGrpSpPr>
        <xdr:cNvPr id="782" name="X016"/>
        <xdr:cNvGrpSpPr/>
      </xdr:nvGrpSpPr>
      <xdr:grpSpPr>
        <a:xfrm>
          <a:off x="1214682" y="18779056"/>
          <a:ext cx="11596688" cy="211286"/>
          <a:chOff x="1209675" y="18950632"/>
          <a:chExt cx="11620500" cy="213668"/>
        </a:xfrm>
      </xdr:grpSpPr>
      <xdr:sp macro="Mov056_Click" textlink="">
        <xdr:nvSpPr>
          <xdr:cNvPr id="783" name="X016L"/>
          <xdr:cNvSpPr/>
        </xdr:nvSpPr>
        <xdr:spPr bwMode="auto">
          <a:xfrm>
            <a:off x="12696825" y="1905000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6_Click" textlink="">
        <xdr:nvSpPr>
          <xdr:cNvPr id="784" name="X016R"/>
          <xdr:cNvSpPr/>
        </xdr:nvSpPr>
        <xdr:spPr bwMode="auto">
          <a:xfrm>
            <a:off x="1209675" y="190500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6_Click">
        <xdr:nvCxnSpPr>
          <xdr:cNvPr id="785" name="X016C"/>
          <xdr:cNvCxnSpPr>
            <a:stCxn id="783" idx="1"/>
            <a:endCxn id="784" idx="3"/>
          </xdr:cNvCxnSpPr>
        </xdr:nvCxnSpPr>
        <xdr:spPr bwMode="auto">
          <a:xfrm flipH="1">
            <a:off x="1343025" y="1910715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6_Click" textlink="">
        <xdr:nvSpPr>
          <xdr:cNvPr id="786" name="X016T"/>
          <xdr:cNvSpPr txBox="1"/>
        </xdr:nvSpPr>
        <xdr:spPr>
          <a:xfrm>
            <a:off x="11317537" y="18950632"/>
            <a:ext cx="1379353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56.// Calculate Nutrition Facts</a:t>
            </a:r>
          </a:p>
        </xdr:txBody>
      </xdr:sp>
    </xdr:grpSp>
    <xdr:clientData/>
  </xdr:twoCellAnchor>
  <xdr:twoCellAnchor>
    <xdr:from>
      <xdr:col>9</xdr:col>
      <xdr:colOff>1214682</xdr:colOff>
      <xdr:row>59</xdr:row>
      <xdr:rowOff>133868</xdr:rowOff>
    </xdr:from>
    <xdr:to>
      <xdr:col>14</xdr:col>
      <xdr:colOff>71682</xdr:colOff>
      <xdr:row>60</xdr:row>
      <xdr:rowOff>23686</xdr:rowOff>
    </xdr:to>
    <xdr:grpSp>
      <xdr:nvGrpSpPr>
        <xdr:cNvPr id="787" name="W009"/>
        <xdr:cNvGrpSpPr/>
      </xdr:nvGrpSpPr>
      <xdr:grpSpPr>
        <a:xfrm>
          <a:off x="12680401" y="19100524"/>
          <a:ext cx="5226844" cy="211287"/>
          <a:chOff x="12696825" y="19274482"/>
          <a:chExt cx="5238750" cy="213668"/>
        </a:xfrm>
      </xdr:grpSpPr>
      <xdr:sp macro="Mov057_Click" textlink="">
        <xdr:nvSpPr>
          <xdr:cNvPr id="788" name="W009L"/>
          <xdr:cNvSpPr/>
        </xdr:nvSpPr>
        <xdr:spPr bwMode="auto">
          <a:xfrm>
            <a:off x="12696825" y="19373850"/>
            <a:ext cx="133350" cy="114300"/>
          </a:xfrm>
          <a:prstGeom prst="diamond">
            <a:avLst/>
          </a:prstGeom>
          <a:solidFill>
            <a:srgbClr val="948A54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7_Click" textlink="">
        <xdr:nvSpPr>
          <xdr:cNvPr id="789" name="W009R"/>
          <xdr:cNvSpPr/>
        </xdr:nvSpPr>
        <xdr:spPr bwMode="auto">
          <a:xfrm>
            <a:off x="17802225" y="193738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7_Click">
        <xdr:nvCxnSpPr>
          <xdr:cNvPr id="790" name="W009C"/>
          <xdr:cNvCxnSpPr>
            <a:stCxn id="788" idx="3"/>
            <a:endCxn id="789" idx="1"/>
          </xdr:cNvCxnSpPr>
        </xdr:nvCxnSpPr>
        <xdr:spPr bwMode="auto">
          <a:xfrm>
            <a:off x="12830175" y="19431000"/>
            <a:ext cx="49720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948A54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7_Click" textlink="">
        <xdr:nvSpPr>
          <xdr:cNvPr id="791" name="W009T"/>
          <xdr:cNvSpPr txBox="1"/>
        </xdr:nvSpPr>
        <xdr:spPr>
          <a:xfrm>
            <a:off x="12830175" y="19274482"/>
            <a:ext cx="1321003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57.// Record Cooked Recipe</a:t>
            </a:r>
          </a:p>
        </xdr:txBody>
      </xdr:sp>
    </xdr:grpSp>
    <xdr:clientData/>
  </xdr:twoCellAnchor>
  <xdr:twoCellAnchor>
    <xdr:from>
      <xdr:col>0</xdr:col>
      <xdr:colOff>1214682</xdr:colOff>
      <xdr:row>60</xdr:row>
      <xdr:rowOff>133868</xdr:rowOff>
    </xdr:from>
    <xdr:to>
      <xdr:col>10</xdr:col>
      <xdr:colOff>71682</xdr:colOff>
      <xdr:row>61</xdr:row>
      <xdr:rowOff>23686</xdr:rowOff>
    </xdr:to>
    <xdr:grpSp>
      <xdr:nvGrpSpPr>
        <xdr:cNvPr id="792" name="E021"/>
        <xdr:cNvGrpSpPr/>
      </xdr:nvGrpSpPr>
      <xdr:grpSpPr>
        <a:xfrm>
          <a:off x="1214682" y="19421993"/>
          <a:ext cx="11596688" cy="211287"/>
          <a:chOff x="1209675" y="19598332"/>
          <a:chExt cx="11620500" cy="213668"/>
        </a:xfrm>
      </xdr:grpSpPr>
      <xdr:sp macro="Mov058_Click" textlink="">
        <xdr:nvSpPr>
          <xdr:cNvPr id="793" name="E021L"/>
          <xdr:cNvSpPr/>
        </xdr:nvSpPr>
        <xdr:spPr bwMode="auto">
          <a:xfrm>
            <a:off x="1209675" y="19697700"/>
            <a:ext cx="133350" cy="114300"/>
          </a:xfrm>
          <a:prstGeom prst="diamond">
            <a:avLst/>
          </a:prstGeom>
          <a:solidFill>
            <a:srgbClr val="1F497D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8_Click" textlink="">
        <xdr:nvSpPr>
          <xdr:cNvPr id="794" name="E021R"/>
          <xdr:cNvSpPr/>
        </xdr:nvSpPr>
        <xdr:spPr bwMode="auto">
          <a:xfrm>
            <a:off x="12696825" y="196977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8_Click">
        <xdr:nvCxnSpPr>
          <xdr:cNvPr id="795" name="E021C"/>
          <xdr:cNvCxnSpPr>
            <a:stCxn id="793" idx="3"/>
            <a:endCxn id="794" idx="1"/>
          </xdr:cNvCxnSpPr>
        </xdr:nvCxnSpPr>
        <xdr:spPr bwMode="auto">
          <a:xfrm>
            <a:off x="1343025" y="1975485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1F497D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8_Click" textlink="">
        <xdr:nvSpPr>
          <xdr:cNvPr id="796" name="E021T"/>
          <xdr:cNvSpPr txBox="1"/>
        </xdr:nvSpPr>
        <xdr:spPr>
          <a:xfrm>
            <a:off x="1343025" y="19598332"/>
            <a:ext cx="1274195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l"/>
            <a:r>
              <a:rPr lang="de-CH" sz="1000">
                <a:latin typeface="Arial Narrow" panose="020B0606020202030204" pitchFamily="34" charset="0"/>
              </a:rPr>
              <a:t>58.// Recall Cooked Recipe</a:t>
            </a:r>
          </a:p>
        </xdr:txBody>
      </xdr:sp>
    </xdr:grpSp>
    <xdr:clientData/>
  </xdr:twoCellAnchor>
  <xdr:twoCellAnchor>
    <xdr:from>
      <xdr:col>0</xdr:col>
      <xdr:colOff>85725</xdr:colOff>
      <xdr:row>57</xdr:row>
      <xdr:rowOff>204661</xdr:rowOff>
    </xdr:from>
    <xdr:to>
      <xdr:col>0</xdr:col>
      <xdr:colOff>546588</xdr:colOff>
      <xdr:row>59</xdr:row>
      <xdr:rowOff>272371</xdr:rowOff>
    </xdr:to>
    <xdr:grpSp>
      <xdr:nvGrpSpPr>
        <xdr:cNvPr id="797" name="T07"/>
        <xdr:cNvGrpSpPr/>
      </xdr:nvGrpSpPr>
      <xdr:grpSpPr>
        <a:xfrm>
          <a:off x="85725" y="18528380"/>
          <a:ext cx="460863" cy="710647"/>
          <a:chOff x="80718" y="18697575"/>
          <a:chExt cx="460863" cy="715410"/>
        </a:xfrm>
      </xdr:grpSpPr>
      <xdr:sp macro="Trg058_Click" textlink="">
        <xdr:nvSpPr>
          <xdr:cNvPr id="798" name="T07S"/>
          <xdr:cNvSpPr/>
        </xdr:nvSpPr>
        <xdr:spPr bwMode="auto">
          <a:xfrm>
            <a:off x="85725" y="18697575"/>
            <a:ext cx="450850" cy="450850"/>
          </a:xfrm>
          <a:prstGeom prst="smileyFace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chemeClr val="accent5">
                <a:lumMod val="75000"/>
              </a:schemeClr>
            </a:solidFill>
            <a:round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  <a:extLst/>
        </xdr:spPr>
        <xdr:txBody>
          <a:bodyPr vertOverflow="overflow" horzOverflow="overflow" wrap="square" anchor="b">
            <a:noAutofit/>
          </a:bodyPr>
          <a:lstStyle/>
          <a:p>
            <a:pPr marL="0" indent="0" algn="l" defTabSz="914400" rtl="0" eaLnBrk="1" latinLnBrk="0" hangingPunct="1"/>
            <a:endParaRPr lang="de-CH" sz="1000" b="0" kern="1200">
              <a:solidFill>
                <a:schemeClr val="tx1"/>
              </a:solidFill>
              <a:latin typeface="Arial Narrow" pitchFamily="34" charset="0"/>
              <a:ea typeface="+mn-ea"/>
              <a:cs typeface="+mn-cs"/>
            </a:endParaRPr>
          </a:p>
        </xdr:txBody>
      </xdr:sp>
      <xdr:sp macro="Trg058_Click" textlink="">
        <xdr:nvSpPr>
          <xdr:cNvPr id="799" name="T07T"/>
          <xdr:cNvSpPr txBox="1"/>
        </xdr:nvSpPr>
        <xdr:spPr>
          <a:xfrm>
            <a:off x="80718" y="19148425"/>
            <a:ext cx="4608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rtlCol="0" anchor="t">
            <a:noAutofit/>
          </a:bodyPr>
          <a:lstStyle/>
          <a:p>
            <a:pPr algn="ctr"/>
            <a:r>
              <a:rPr lang="de-CH" sz="1000">
                <a:latin typeface="Arial Narrow" panose="020B0606020202030204" pitchFamily="34" charset="0"/>
              </a:rPr>
              <a:t>Remember</a:t>
            </a:r>
          </a:p>
        </xdr:txBody>
      </xdr:sp>
    </xdr:grpSp>
    <xdr:clientData/>
  </xdr:twoCellAnchor>
  <xdr:twoCellAnchor>
    <xdr:from>
      <xdr:col>0</xdr:col>
      <xdr:colOff>316156</xdr:colOff>
      <xdr:row>59</xdr:row>
      <xdr:rowOff>272371</xdr:rowOff>
    </xdr:from>
    <xdr:to>
      <xdr:col>0</xdr:col>
      <xdr:colOff>1214681</xdr:colOff>
      <xdr:row>60</xdr:row>
      <xdr:rowOff>288642</xdr:rowOff>
    </xdr:to>
    <xdr:cxnSp macro="">
      <xdr:nvCxnSpPr>
        <xdr:cNvPr id="800" name="T07C"/>
        <xdr:cNvCxnSpPr>
          <a:stCxn id="799" idx="2"/>
          <a:endCxn id="793" idx="1"/>
        </xdr:cNvCxnSpPr>
      </xdr:nvCxnSpPr>
      <xdr:spPr bwMode="auto">
        <a:xfrm rot="16200000" flipH="1">
          <a:off x="596549" y="18958634"/>
          <a:ext cx="337740" cy="898525"/>
        </a:xfrm>
        <a:prstGeom prst="bentConnector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1214682</xdr:colOff>
      <xdr:row>61</xdr:row>
      <xdr:rowOff>133868</xdr:rowOff>
    </xdr:from>
    <xdr:to>
      <xdr:col>14</xdr:col>
      <xdr:colOff>71682</xdr:colOff>
      <xdr:row>62</xdr:row>
      <xdr:rowOff>23686</xdr:rowOff>
    </xdr:to>
    <xdr:grpSp>
      <xdr:nvGrpSpPr>
        <xdr:cNvPr id="801" name="R013"/>
        <xdr:cNvGrpSpPr/>
      </xdr:nvGrpSpPr>
      <xdr:grpSpPr>
        <a:xfrm>
          <a:off x="12680401" y="19743462"/>
          <a:ext cx="5226844" cy="211287"/>
          <a:chOff x="12696825" y="19922182"/>
          <a:chExt cx="5238750" cy="213668"/>
        </a:xfrm>
      </xdr:grpSpPr>
      <xdr:sp macro="Mov059_Click" textlink="">
        <xdr:nvSpPr>
          <xdr:cNvPr id="802" name="R013L"/>
          <xdr:cNvSpPr/>
        </xdr:nvSpPr>
        <xdr:spPr bwMode="auto">
          <a:xfrm>
            <a:off x="17802225" y="20021550"/>
            <a:ext cx="133350" cy="114300"/>
          </a:xfrm>
          <a:prstGeom prst="diamond">
            <a:avLst/>
          </a:prstGeom>
          <a:solidFill>
            <a:srgbClr val="E46C0A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59_Click" textlink="">
        <xdr:nvSpPr>
          <xdr:cNvPr id="803" name="R013R"/>
          <xdr:cNvSpPr/>
        </xdr:nvSpPr>
        <xdr:spPr bwMode="auto">
          <a:xfrm>
            <a:off x="12696825" y="2002155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59_Click">
        <xdr:nvCxnSpPr>
          <xdr:cNvPr id="804" name="R013C"/>
          <xdr:cNvCxnSpPr>
            <a:stCxn id="802" idx="1"/>
            <a:endCxn id="803" idx="3"/>
          </xdr:cNvCxnSpPr>
        </xdr:nvCxnSpPr>
        <xdr:spPr bwMode="auto">
          <a:xfrm flipH="1">
            <a:off x="12830175" y="20078700"/>
            <a:ext cx="497205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E46C0A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59_Click" textlink="">
        <xdr:nvSpPr>
          <xdr:cNvPr id="805" name="R013T"/>
          <xdr:cNvSpPr txBox="1"/>
        </xdr:nvSpPr>
        <xdr:spPr>
          <a:xfrm>
            <a:off x="16475516" y="19922182"/>
            <a:ext cx="1326774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59.// Recall Cooked Recipes</a:t>
            </a:r>
          </a:p>
        </xdr:txBody>
      </xdr:sp>
    </xdr:grpSp>
    <xdr:clientData/>
  </xdr:twoCellAnchor>
  <xdr:twoCellAnchor>
    <xdr:from>
      <xdr:col>0</xdr:col>
      <xdr:colOff>1214682</xdr:colOff>
      <xdr:row>62</xdr:row>
      <xdr:rowOff>133868</xdr:rowOff>
    </xdr:from>
    <xdr:to>
      <xdr:col>10</xdr:col>
      <xdr:colOff>71682</xdr:colOff>
      <xdr:row>63</xdr:row>
      <xdr:rowOff>23686</xdr:rowOff>
    </xdr:to>
    <xdr:grpSp>
      <xdr:nvGrpSpPr>
        <xdr:cNvPr id="806" name="X017"/>
        <xdr:cNvGrpSpPr/>
      </xdr:nvGrpSpPr>
      <xdr:grpSpPr>
        <a:xfrm>
          <a:off x="1214682" y="20064931"/>
          <a:ext cx="11596688" cy="211286"/>
          <a:chOff x="1209675" y="20246032"/>
          <a:chExt cx="11620500" cy="213668"/>
        </a:xfrm>
      </xdr:grpSpPr>
      <xdr:sp macro="Mov060_Click" textlink="">
        <xdr:nvSpPr>
          <xdr:cNvPr id="807" name="X017L"/>
          <xdr:cNvSpPr/>
        </xdr:nvSpPr>
        <xdr:spPr bwMode="auto">
          <a:xfrm>
            <a:off x="12696825" y="20345400"/>
            <a:ext cx="133350" cy="114300"/>
          </a:xfrm>
          <a:prstGeom prst="diamond">
            <a:avLst/>
          </a:prstGeom>
          <a:solidFill>
            <a:srgbClr val="4BACC6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sp macro="Mov060_Click" textlink="">
        <xdr:nvSpPr>
          <xdr:cNvPr id="808" name="X017R"/>
          <xdr:cNvSpPr/>
        </xdr:nvSpPr>
        <xdr:spPr bwMode="auto">
          <a:xfrm>
            <a:off x="1209675" y="20345400"/>
            <a:ext cx="133350" cy="114300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de-CH" sz="1100"/>
          </a:p>
        </xdr:txBody>
      </xdr:sp>
      <xdr:cxnSp macro="Mov060_Click">
        <xdr:nvCxnSpPr>
          <xdr:cNvPr id="809" name="X017C"/>
          <xdr:cNvCxnSpPr>
            <a:stCxn id="807" idx="1"/>
            <a:endCxn id="808" idx="3"/>
          </xdr:cNvCxnSpPr>
        </xdr:nvCxnSpPr>
        <xdr:spPr bwMode="auto">
          <a:xfrm flipH="1">
            <a:off x="1343025" y="20402550"/>
            <a:ext cx="11353800" cy="0"/>
          </a:xfrm>
          <a:prstGeom prst="straightConnector1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9050" cap="flat" cmpd="sng" algn="ctr">
            <a:solidFill>
              <a:srgbClr val="4BACC6">
                <a:lumMod val="100000"/>
              </a:srgbClr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Mov060_Click" textlink="">
        <xdr:nvSpPr>
          <xdr:cNvPr id="810" name="X017T"/>
          <xdr:cNvSpPr txBox="1"/>
        </xdr:nvSpPr>
        <xdr:spPr>
          <a:xfrm>
            <a:off x="11399226" y="20246032"/>
            <a:ext cx="1297664" cy="1471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overflow" vert="horz" wrap="none" lIns="0" tIns="0" rIns="0" bIns="0" rtlCol="0" anchor="t">
            <a:spAutoFit/>
          </a:bodyPr>
          <a:lstStyle/>
          <a:p>
            <a:pPr algn="r"/>
            <a:r>
              <a:rPr lang="de-CH" sz="1000">
                <a:latin typeface="Arial Narrow" panose="020B0606020202030204" pitchFamily="34" charset="0"/>
              </a:rPr>
              <a:t>60.// Show Cooked Recipes</a:t>
            </a:r>
          </a:p>
        </xdr:txBody>
      </xdr:sp>
    </xdr:grpSp>
    <xdr:clientData/>
  </xdr:twoCellAnchor>
  <xdr:twoCellAnchor>
    <xdr:from>
      <xdr:col>4</xdr:col>
      <xdr:colOff>458618</xdr:colOff>
      <xdr:row>0</xdr:row>
      <xdr:rowOff>64089</xdr:rowOff>
    </xdr:from>
    <xdr:to>
      <xdr:col>4</xdr:col>
      <xdr:colOff>1096793</xdr:colOff>
      <xdr:row>0</xdr:row>
      <xdr:rowOff>292689</xdr:rowOff>
    </xdr:to>
    <xdr:sp macro="Extract_Click" textlink="">
      <xdr:nvSpPr>
        <xdr:cNvPr id="3" name="Extract" hidden="1"/>
        <xdr:cNvSpPr/>
      </xdr:nvSpPr>
      <xdr:spPr>
        <a:xfrm>
          <a:off x="5554493" y="64089"/>
          <a:ext cx="638175" cy="228600"/>
        </a:xfrm>
        <a:prstGeom prst="bevel">
          <a:avLst/>
        </a:prstGeom>
        <a:solidFill>
          <a:schemeClr val="bg2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de-CH" sz="800">
              <a:solidFill>
                <a:srgbClr val="000000"/>
              </a:solidFill>
              <a:latin typeface="Arial Narrow" panose="020B0606020202030204" pitchFamily="34" charset="0"/>
            </a:rPr>
            <a:t>Extract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oalInterfaceSheet"/>
  <dimension ref="B1:W11"/>
  <sheetViews>
    <sheetView showGridLines="0" workbookViewId="0"/>
  </sheetViews>
  <sheetFormatPr defaultRowHeight="12.75"/>
  <cols>
    <col min="1" max="1" width="1" customWidth="1"/>
    <col min="2" max="2" width="2.6640625" bestFit="1" customWidth="1"/>
    <col min="3" max="3" width="23" bestFit="1" customWidth="1"/>
    <col min="4" max="4" width="5" bestFit="1" customWidth="1"/>
    <col min="5" max="5" width="24.1640625" bestFit="1" customWidth="1"/>
    <col min="6" max="6" width="1" customWidth="1"/>
    <col min="7" max="7" width="32.5" bestFit="1" customWidth="1"/>
    <col min="8" max="8" width="21.83203125" bestFit="1" customWidth="1"/>
    <col min="9" max="10" width="1" customWidth="1"/>
    <col min="11" max="11" width="14.6640625" bestFit="1" customWidth="1"/>
    <col min="12" max="12" width="17.83203125" bestFit="1" customWidth="1"/>
    <col min="13" max="13" width="10" bestFit="1" customWidth="1"/>
    <col min="14" max="14" width="4.1640625" customWidth="1"/>
    <col min="15" max="15" width="9.33203125" style="368" hidden="1" customWidth="1"/>
    <col min="16" max="16" width="4.1640625" style="368" hidden="1" customWidth="1"/>
    <col min="17" max="18" width="9.33203125" style="368"/>
    <col min="19" max="19" width="11.83203125" style="364" bestFit="1" customWidth="1"/>
    <col min="20" max="20" width="4.1640625" style="364" customWidth="1"/>
    <col min="21" max="22" width="9.33203125" style="364"/>
  </cols>
  <sheetData>
    <row r="1" spans="2:23" ht="4.5" customHeight="1"/>
    <row r="2" spans="2:23" ht="17.25" thickBot="1">
      <c r="B2" s="57"/>
      <c r="D2" s="416" t="str">
        <f>CONCATENATE("Interface to QFD Deployment ",Translation!Goal_Profile)</f>
        <v>Interface to QFD Deployment Goal Profile</v>
      </c>
      <c r="E2" s="417"/>
      <c r="F2" s="417"/>
      <c r="G2" s="417"/>
      <c r="H2" s="417"/>
      <c r="I2" s="417"/>
      <c r="J2" s="417"/>
      <c r="K2" s="417"/>
      <c r="L2" s="417"/>
      <c r="M2" s="417"/>
      <c r="N2" s="417"/>
      <c r="O2" s="365"/>
      <c r="P2" s="365"/>
      <c r="Q2" s="365"/>
      <c r="R2" s="369">
        <v>42328.68677083333</v>
      </c>
      <c r="W2" s="61"/>
    </row>
    <row r="3" spans="2:23" ht="16.5" thickBot="1">
      <c r="B3" s="57"/>
      <c r="C3" s="58" t="s">
        <v>238</v>
      </c>
      <c r="D3" s="418" t="s">
        <v>477</v>
      </c>
      <c r="E3" s="419"/>
      <c r="F3" s="419"/>
      <c r="G3" s="419"/>
      <c r="H3" s="419"/>
      <c r="I3" s="420"/>
      <c r="J3" s="208"/>
      <c r="K3" s="61" t="s">
        <v>236</v>
      </c>
      <c r="L3" s="370" t="s">
        <v>6</v>
      </c>
      <c r="M3" s="371" t="s">
        <v>237</v>
      </c>
      <c r="N3" s="373">
        <v>5</v>
      </c>
      <c r="O3" s="372" t="str">
        <f>IF(Percentile&gt;0,Translation!Percentile,"")</f>
        <v/>
      </c>
      <c r="P3" s="374">
        <v>0</v>
      </c>
      <c r="Q3" s="372" t="str">
        <f>Translation!Language</f>
        <v>Language</v>
      </c>
      <c r="R3" s="375" t="str">
        <f ca="1">OFFSET(Translation!SelectLanguage,0,Translation!SelectLanguage)</f>
        <v>English</v>
      </c>
      <c r="W3" s="61"/>
    </row>
    <row r="4" spans="2:23" ht="27" customHeight="1" thickBot="1">
      <c r="B4" s="421" t="s">
        <v>478</v>
      </c>
      <c r="C4" s="422"/>
      <c r="D4" s="422"/>
      <c r="E4" s="422"/>
      <c r="F4" s="108"/>
      <c r="G4" s="199" t="s">
        <v>8</v>
      </c>
      <c r="H4" s="199"/>
      <c r="I4" s="199"/>
      <c r="K4" s="117" t="str">
        <f>Translation!Goal_Profile</f>
        <v>Goal Profile</v>
      </c>
    </row>
    <row r="5" spans="2:23" ht="16.5">
      <c r="B5" s="376" t="s">
        <v>479</v>
      </c>
      <c r="C5" s="377" t="s">
        <v>480</v>
      </c>
      <c r="D5" s="127" t="s">
        <v>481</v>
      </c>
      <c r="E5" s="109" t="s">
        <v>482</v>
      </c>
      <c r="F5" s="110"/>
      <c r="G5" s="200" t="s">
        <v>497</v>
      </c>
      <c r="H5" s="201" t="s">
        <v>498</v>
      </c>
      <c r="I5" s="204"/>
      <c r="J5" s="110"/>
      <c r="K5" s="111">
        <v>0.30937850082555501</v>
      </c>
      <c r="L5" s="59"/>
    </row>
    <row r="6" spans="2:23" ht="16.5">
      <c r="B6" s="378" t="s">
        <v>483</v>
      </c>
      <c r="C6" s="379" t="s">
        <v>484</v>
      </c>
      <c r="D6" s="128" t="s">
        <v>485</v>
      </c>
      <c r="E6" s="112" t="s">
        <v>736</v>
      </c>
      <c r="F6" s="110"/>
      <c r="G6" s="202" t="s">
        <v>499</v>
      </c>
      <c r="H6" s="203" t="s">
        <v>500</v>
      </c>
      <c r="I6" s="205"/>
      <c r="J6" s="110"/>
      <c r="K6" s="113">
        <v>0.53527224156359554</v>
      </c>
      <c r="L6" s="60"/>
    </row>
    <row r="7" spans="2:23" ht="16.5">
      <c r="B7" s="378"/>
      <c r="C7" s="379"/>
      <c r="D7" s="128" t="s">
        <v>486</v>
      </c>
      <c r="E7" s="112" t="s">
        <v>487</v>
      </c>
      <c r="F7" s="110"/>
      <c r="G7" s="202" t="s">
        <v>501</v>
      </c>
      <c r="H7" s="203"/>
      <c r="I7" s="205"/>
      <c r="J7" s="110"/>
      <c r="K7" s="113">
        <v>0.26763612078179777</v>
      </c>
      <c r="L7" s="60"/>
    </row>
    <row r="8" spans="2:23" ht="16.5">
      <c r="B8" s="378" t="s">
        <v>488</v>
      </c>
      <c r="C8" s="379" t="s">
        <v>489</v>
      </c>
      <c r="D8" s="128" t="s">
        <v>490</v>
      </c>
      <c r="E8" s="112" t="s">
        <v>491</v>
      </c>
      <c r="F8" s="110"/>
      <c r="G8" s="202" t="s">
        <v>502</v>
      </c>
      <c r="H8" s="203"/>
      <c r="I8" s="205"/>
      <c r="J8" s="110"/>
      <c r="K8" s="113">
        <v>0.36564097949418761</v>
      </c>
      <c r="L8" s="60"/>
    </row>
    <row r="9" spans="2:23" ht="16.5">
      <c r="B9" s="378" t="s">
        <v>492</v>
      </c>
      <c r="C9" s="379" t="s">
        <v>493</v>
      </c>
      <c r="D9" s="128" t="s">
        <v>494</v>
      </c>
      <c r="E9" s="112" t="s">
        <v>495</v>
      </c>
      <c r="F9" s="110"/>
      <c r="G9" s="202" t="s">
        <v>503</v>
      </c>
      <c r="H9" s="203" t="s">
        <v>504</v>
      </c>
      <c r="I9" s="205"/>
      <c r="J9" s="110"/>
      <c r="K9" s="113">
        <v>0.31625801046588459</v>
      </c>
      <c r="L9" s="60"/>
    </row>
    <row r="10" spans="2:23" ht="17.25" thickBot="1">
      <c r="B10" s="378"/>
      <c r="C10" s="379"/>
      <c r="D10" s="128" t="s">
        <v>496</v>
      </c>
      <c r="E10" s="112" t="s">
        <v>737</v>
      </c>
      <c r="F10" s="110"/>
      <c r="G10" s="202" t="s">
        <v>505</v>
      </c>
      <c r="H10" s="203" t="s">
        <v>506</v>
      </c>
      <c r="I10" s="205"/>
      <c r="J10" s="110"/>
      <c r="K10" s="113">
        <v>0.5589517174336065</v>
      </c>
      <c r="L10" s="60"/>
    </row>
    <row r="11" spans="2:23" ht="4.5" customHeight="1" thickBot="1">
      <c r="B11" s="114"/>
      <c r="C11" s="129"/>
      <c r="D11" s="130"/>
      <c r="E11" s="115"/>
      <c r="F11" s="110"/>
      <c r="G11" s="118"/>
      <c r="H11" s="198"/>
      <c r="I11" s="206"/>
      <c r="J11" s="110"/>
      <c r="K11" s="116"/>
      <c r="L11" s="125"/>
    </row>
  </sheetData>
  <sheetProtection sheet="1" objects="1" scenarios="1"/>
  <mergeCells count="3">
    <mergeCell ref="D2:N2"/>
    <mergeCell ref="D3:I3"/>
    <mergeCell ref="B4:E4"/>
  </mergeCells>
  <dataValidations count="2">
    <dataValidation type="whole" errorStyle="warning" operator="greaterThan" allowBlank="1" showErrorMessage="1" errorTitle="Should be 5" error="Normally, names are in column 5 while IDs are the column before" sqref="N3">
      <formula1>0</formula1>
    </dataValidation>
    <dataValidation type="list" allowBlank="1" showInputMessage="1" showErrorMessage="1" sqref="R3">
      <formula1>SelectLanguage_ValidationList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zeInterfaceSheet"/>
  <dimension ref="B1:P13"/>
  <sheetViews>
    <sheetView showGridLines="0" workbookViewId="0"/>
  </sheetViews>
  <sheetFormatPr defaultRowHeight="11.25"/>
  <cols>
    <col min="1" max="2" width="1" customWidth="1"/>
    <col min="3" max="3" width="6" bestFit="1" customWidth="1"/>
    <col min="4" max="4" width="6.33203125" bestFit="1" customWidth="1"/>
    <col min="5" max="5" width="19.1640625" bestFit="1" customWidth="1"/>
    <col min="6" max="6" width="1" customWidth="1"/>
    <col min="7" max="7" width="23.6640625" bestFit="1" customWidth="1"/>
    <col min="8" max="8" width="35.83203125" bestFit="1" customWidth="1"/>
    <col min="9" max="9" width="37.33203125" bestFit="1" customWidth="1"/>
    <col min="10" max="10" width="38.33203125" bestFit="1" customWidth="1"/>
    <col min="11" max="11" width="2.33203125" bestFit="1" customWidth="1"/>
    <col min="12" max="12" width="1" customWidth="1"/>
    <col min="13" max="13" width="9.83203125" bestFit="1" customWidth="1"/>
    <col min="14" max="14" width="1" customWidth="1"/>
    <col min="15" max="16" width="6.83203125" customWidth="1"/>
    <col min="17" max="17" width="1" customWidth="1"/>
  </cols>
  <sheetData>
    <row r="1" spans="2:16" ht="4.5" customHeight="1"/>
    <row r="2" spans="2:16" ht="17.25" thickBot="1">
      <c r="B2" s="57"/>
      <c r="D2" s="423" t="s">
        <v>239</v>
      </c>
      <c r="E2" s="424"/>
      <c r="F2" s="424"/>
      <c r="G2" s="424"/>
      <c r="H2" s="425"/>
      <c r="I2" s="62"/>
    </row>
    <row r="3" spans="2:16" s="110" customFormat="1" ht="16.5" thickBot="1">
      <c r="B3" s="307"/>
      <c r="C3" s="61" t="s">
        <v>238</v>
      </c>
      <c r="D3" s="426" t="s">
        <v>507</v>
      </c>
      <c r="E3" s="427"/>
      <c r="F3" s="427"/>
      <c r="G3" s="427"/>
      <c r="H3" s="428"/>
      <c r="I3" s="61"/>
    </row>
    <row r="4" spans="2:16" ht="27" customHeight="1" thickBot="1">
      <c r="B4" s="429" t="s">
        <v>468</v>
      </c>
      <c r="C4" s="430"/>
      <c r="D4" s="430"/>
      <c r="E4" s="430"/>
      <c r="F4" s="303"/>
      <c r="G4" s="207" t="str">
        <f>CONCATENATE(Translation!As_a," … ",Translation!functional_user)</f>
        <v>As a … [functional user]</v>
      </c>
      <c r="H4" s="207" t="str">
        <f>CONCATENATE(Translation!I_want_to," … ",Translation!get_something_done)</f>
        <v>I want to … [get something done]</v>
      </c>
      <c r="I4" s="119" t="str">
        <f>CONCATENATE(Translation!such_that," …",Translation!quality_characteristic)</f>
        <v>such that …[quality characteristic]</v>
      </c>
      <c r="J4" s="119" t="str">
        <f>CONCATENATE(Translation!so_that," … ",Translation!value_or_benefit)</f>
        <v>so that … [value or benefit]</v>
      </c>
      <c r="K4" s="207"/>
      <c r="L4" s="104"/>
      <c r="M4" s="123" t="str">
        <f>Translation!Priority</f>
        <v>Priority</v>
      </c>
      <c r="N4" s="124"/>
      <c r="O4" s="1"/>
      <c r="P4" s="1"/>
    </row>
    <row r="5" spans="2:16" ht="15.75">
      <c r="B5" s="317"/>
      <c r="C5" s="318">
        <v>1</v>
      </c>
      <c r="D5" s="319" t="s">
        <v>465</v>
      </c>
      <c r="E5" s="320" t="s">
        <v>508</v>
      </c>
      <c r="G5" s="358" t="s">
        <v>493</v>
      </c>
      <c r="H5" s="359" t="s">
        <v>509</v>
      </c>
      <c r="I5" s="359" t="s">
        <v>510</v>
      </c>
      <c r="J5" s="360" t="s">
        <v>511</v>
      </c>
      <c r="K5" s="331" t="s">
        <v>255</v>
      </c>
      <c r="L5" s="106"/>
      <c r="M5" s="337">
        <f ca="1">OFFSET('FUR Combinator'!$E$12,0,ROW()-5)</f>
        <v>0.40133890900532454</v>
      </c>
      <c r="N5" s="320"/>
      <c r="O5" s="9"/>
      <c r="P5" s="8"/>
    </row>
    <row r="6" spans="2:16" ht="15.75">
      <c r="B6" s="321"/>
      <c r="C6" s="322">
        <v>2</v>
      </c>
      <c r="D6" s="323" t="s">
        <v>466</v>
      </c>
      <c r="E6" s="324" t="s">
        <v>512</v>
      </c>
      <c r="G6" s="361" t="s">
        <v>493</v>
      </c>
      <c r="H6" s="362" t="s">
        <v>513</v>
      </c>
      <c r="I6" s="362" t="s">
        <v>792</v>
      </c>
      <c r="J6" s="363" t="s">
        <v>514</v>
      </c>
      <c r="K6" s="332" t="s">
        <v>255</v>
      </c>
      <c r="L6" s="106"/>
      <c r="M6" s="338">
        <f ca="1">OFFSET('FUR Combinator'!$E$12,0,ROW()-5)</f>
        <v>0.41386353829043449</v>
      </c>
      <c r="N6" s="324"/>
      <c r="O6" s="7"/>
      <c r="P6" s="6"/>
    </row>
    <row r="7" spans="2:16" ht="15.75">
      <c r="B7" s="321"/>
      <c r="C7" s="322">
        <v>3</v>
      </c>
      <c r="D7" s="323" t="s">
        <v>467</v>
      </c>
      <c r="E7" s="324" t="s">
        <v>515</v>
      </c>
      <c r="G7" s="361" t="s">
        <v>493</v>
      </c>
      <c r="H7" s="362" t="s">
        <v>516</v>
      </c>
      <c r="I7" s="362" t="s">
        <v>510</v>
      </c>
      <c r="J7" s="363" t="s">
        <v>511</v>
      </c>
      <c r="K7" s="332" t="s">
        <v>255</v>
      </c>
      <c r="L7" s="106"/>
      <c r="M7" s="338">
        <f ca="1">OFFSET('FUR Combinator'!$E$12,0,ROW()-5)</f>
        <v>0.44751241578560169</v>
      </c>
      <c r="N7" s="324"/>
      <c r="O7" s="7"/>
      <c r="P7" s="6"/>
    </row>
    <row r="8" spans="2:16" ht="15.75">
      <c r="B8" s="321"/>
      <c r="C8" s="322">
        <v>4</v>
      </c>
      <c r="D8" s="323" t="s">
        <v>517</v>
      </c>
      <c r="E8" s="324" t="s">
        <v>518</v>
      </c>
      <c r="G8" s="361" t="s">
        <v>493</v>
      </c>
      <c r="H8" s="362" t="s">
        <v>519</v>
      </c>
      <c r="I8" s="362" t="s">
        <v>520</v>
      </c>
      <c r="J8" s="363" t="s">
        <v>521</v>
      </c>
      <c r="K8" s="332" t="s">
        <v>255</v>
      </c>
      <c r="L8" s="106"/>
      <c r="M8" s="338">
        <f ca="1">OFFSET('FUR Combinator'!$E$12,0,ROW()-5)</f>
        <v>0.2878498872884635</v>
      </c>
      <c r="N8" s="324"/>
      <c r="O8" s="7"/>
      <c r="P8" s="6"/>
    </row>
    <row r="9" spans="2:16" ht="15.75">
      <c r="B9" s="321"/>
      <c r="C9" s="322">
        <v>5</v>
      </c>
      <c r="D9" s="323" t="s">
        <v>522</v>
      </c>
      <c r="E9" s="324" t="s">
        <v>523</v>
      </c>
      <c r="G9" s="361" t="s">
        <v>493</v>
      </c>
      <c r="H9" s="362" t="s">
        <v>524</v>
      </c>
      <c r="I9" s="362" t="s">
        <v>525</v>
      </c>
      <c r="J9" s="363" t="s">
        <v>526</v>
      </c>
      <c r="K9" s="332" t="s">
        <v>255</v>
      </c>
      <c r="L9" s="106"/>
      <c r="M9" s="338">
        <f ca="1">OFFSET('FUR Combinator'!$E$12,0,ROW()-5)</f>
        <v>0.23782029916396508</v>
      </c>
      <c r="N9" s="324"/>
      <c r="O9" s="7"/>
      <c r="P9" s="6"/>
    </row>
    <row r="10" spans="2:16" ht="15.75">
      <c r="B10" s="321"/>
      <c r="C10" s="322">
        <v>6</v>
      </c>
      <c r="D10" s="323" t="s">
        <v>527</v>
      </c>
      <c r="E10" s="324" t="s">
        <v>528</v>
      </c>
      <c r="G10" s="361" t="s">
        <v>493</v>
      </c>
      <c r="H10" s="362" t="s">
        <v>529</v>
      </c>
      <c r="I10" s="362" t="s">
        <v>530</v>
      </c>
      <c r="J10" s="363" t="s">
        <v>531</v>
      </c>
      <c r="K10" s="332" t="s">
        <v>255</v>
      </c>
      <c r="L10" s="106"/>
      <c r="M10" s="338">
        <f ca="1">OFFSET('FUR Combinator'!$E$12,0,ROW()-5)</f>
        <v>0.32236927610373006</v>
      </c>
      <c r="N10" s="324"/>
      <c r="O10" s="7"/>
      <c r="P10" s="6"/>
    </row>
    <row r="11" spans="2:16" ht="15.75">
      <c r="B11" s="321"/>
      <c r="C11" s="322">
        <v>7</v>
      </c>
      <c r="D11" s="323" t="s">
        <v>532</v>
      </c>
      <c r="E11" s="324" t="s">
        <v>533</v>
      </c>
      <c r="G11" s="361" t="s">
        <v>493</v>
      </c>
      <c r="H11" s="362" t="s">
        <v>534</v>
      </c>
      <c r="I11" s="362" t="s">
        <v>535</v>
      </c>
      <c r="J11" s="363" t="s">
        <v>536</v>
      </c>
      <c r="K11" s="332" t="s">
        <v>255</v>
      </c>
      <c r="L11" s="106"/>
      <c r="M11" s="338">
        <f ca="1">OFFSET('FUR Combinator'!$E$12,0,ROW()-5)</f>
        <v>0.40053228933437235</v>
      </c>
      <c r="N11" s="324"/>
      <c r="O11" s="7"/>
      <c r="P11" s="6"/>
    </row>
    <row r="12" spans="2:16" ht="16.5" thickBot="1">
      <c r="B12" s="325"/>
      <c r="C12" s="322">
        <v>8</v>
      </c>
      <c r="D12" s="326" t="s">
        <v>537</v>
      </c>
      <c r="E12" s="324" t="s">
        <v>538</v>
      </c>
      <c r="G12" s="361" t="s">
        <v>493</v>
      </c>
      <c r="H12" s="362" t="s">
        <v>539</v>
      </c>
      <c r="I12" s="362" t="s">
        <v>540</v>
      </c>
      <c r="J12" s="363" t="s">
        <v>541</v>
      </c>
      <c r="K12" s="332" t="s">
        <v>255</v>
      </c>
      <c r="L12" s="126"/>
      <c r="M12" s="338">
        <f ca="1">OFFSET('FUR Combinator'!$E$12,0,ROW()-5)</f>
        <v>0.25221532909079375</v>
      </c>
      <c r="N12" s="324"/>
      <c r="O12" s="5"/>
      <c r="P12" s="4"/>
    </row>
    <row r="13" spans="2:16" ht="4.5" customHeight="1" thickBot="1">
      <c r="B13" s="327"/>
      <c r="C13" s="328"/>
      <c r="D13" s="329"/>
      <c r="E13" s="330"/>
      <c r="F13" s="133"/>
      <c r="G13" s="333"/>
      <c r="H13" s="334"/>
      <c r="I13" s="334"/>
      <c r="J13" s="335"/>
      <c r="K13" s="336"/>
      <c r="L13" s="120"/>
      <c r="M13" s="339"/>
      <c r="N13" s="330"/>
      <c r="O13" s="121"/>
      <c r="P13" s="122"/>
    </row>
  </sheetData>
  <sheetProtection sheet="1" objects="1" scenarios="1"/>
  <mergeCells count="3">
    <mergeCell ref="D2:H2"/>
    <mergeCell ref="D3:H3"/>
    <mergeCell ref="B4:E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zeInterfaceSheetBW"/>
  <dimension ref="B1:P13"/>
  <sheetViews>
    <sheetView showGridLines="0" workbookViewId="0"/>
  </sheetViews>
  <sheetFormatPr defaultColWidth="9.33203125" defaultRowHeight="11.25"/>
  <cols>
    <col min="1" max="1" width="1" style="301" customWidth="1"/>
    <col min="2" max="2" width="1.6640625" style="301" customWidth="1"/>
    <col min="3" max="3" width="3" style="301" bestFit="1" customWidth="1"/>
    <col min="4" max="4" width="6.33203125" style="301" bestFit="1" customWidth="1"/>
    <col min="5" max="5" width="19.1640625" style="301" bestFit="1" customWidth="1"/>
    <col min="6" max="6" width="1" style="301" customWidth="1"/>
    <col min="7" max="7" width="24.33203125" style="301" bestFit="1" customWidth="1"/>
    <col min="8" max="8" width="35.83203125" style="301" bestFit="1" customWidth="1"/>
    <col min="9" max="9" width="37.33203125" style="301" bestFit="1" customWidth="1"/>
    <col min="10" max="10" width="38.33203125" style="301" bestFit="1" customWidth="1"/>
    <col min="11" max="11" width="2.33203125" style="301" bestFit="1" customWidth="1"/>
    <col min="12" max="12" width="1" style="301" customWidth="1"/>
    <col min="13" max="13" width="9.83203125" style="301" bestFit="1" customWidth="1"/>
    <col min="14" max="14" width="1.33203125" style="301" customWidth="1"/>
    <col min="15" max="16" width="10" style="301" customWidth="1"/>
    <col min="17" max="17" width="1.33203125" style="301" customWidth="1"/>
    <col min="18" max="16384" width="9.33203125" style="301"/>
  </cols>
  <sheetData>
    <row r="1" spans="2:16" ht="4.5" customHeight="1"/>
    <row r="3" spans="2:16">
      <c r="F3" s="302"/>
      <c r="G3" s="302"/>
      <c r="H3" s="302"/>
    </row>
    <row r="4" spans="2:16" ht="27" customHeight="1" thickBot="1">
      <c r="B4" s="429" t="str">
        <f>'Size Interface'!GoalTopic</f>
        <v>User Stories</v>
      </c>
      <c r="C4" s="430"/>
      <c r="D4" s="430"/>
      <c r="E4" s="430"/>
      <c r="F4" s="303"/>
      <c r="G4" s="207" t="s">
        <v>256</v>
      </c>
      <c r="H4" s="207" t="s">
        <v>257</v>
      </c>
      <c r="I4" s="119" t="s">
        <v>258</v>
      </c>
      <c r="J4" s="119" t="s">
        <v>259</v>
      </c>
      <c r="K4" s="207"/>
      <c r="L4" s="304"/>
      <c r="M4" s="123" t="str">
        <f>Translation!Priority</f>
        <v>Priority</v>
      </c>
      <c r="N4" s="305"/>
      <c r="O4" s="2"/>
      <c r="P4" s="2"/>
    </row>
    <row r="5" spans="2:16" ht="15.75">
      <c r="B5" s="290"/>
      <c r="C5" s="291">
        <f>'Size Interface'!C5</f>
        <v>1</v>
      </c>
      <c r="D5" s="292" t="str">
        <f>'Size Interface'!D5</f>
        <v>Q001</v>
      </c>
      <c r="E5" s="273" t="str">
        <f>'Size Interface'!E5</f>
        <v>Collect Recipes</v>
      </c>
      <c r="G5" s="278" t="str">
        <f>'Size Interface'!G5</f>
        <v>Kitchen User</v>
      </c>
      <c r="H5" s="279" t="str">
        <f>'Size Interface'!H5</f>
        <v>collect recipes</v>
      </c>
      <c r="I5" s="279" t="str">
        <f>'Size Interface'!I5</f>
        <v>I can select one that interests me</v>
      </c>
      <c r="J5" s="280" t="str">
        <f>'Size Interface'!J5</f>
        <v>my family and guests are impressed</v>
      </c>
      <c r="K5" s="281" t="s">
        <v>255</v>
      </c>
      <c r="L5" s="106"/>
      <c r="M5" s="272">
        <f ca="1">'Size Interface'!M5</f>
        <v>0.40133890900532454</v>
      </c>
      <c r="N5" s="273"/>
      <c r="O5" s="9"/>
      <c r="P5" s="8"/>
    </row>
    <row r="6" spans="2:16" ht="15.75">
      <c r="B6" s="293"/>
      <c r="C6" s="294">
        <f>'Size Interface'!C6</f>
        <v>2</v>
      </c>
      <c r="D6" s="295" t="str">
        <f>'Size Interface'!D6</f>
        <v>Q002</v>
      </c>
      <c r="E6" s="275" t="str">
        <f>'Size Interface'!E6</f>
        <v>Identify Food</v>
      </c>
      <c r="G6" s="282" t="str">
        <f>'Size Interface'!G6</f>
        <v>Kitchen User</v>
      </c>
      <c r="H6" s="283" t="str">
        <f>'Size Interface'!H6</f>
        <v>identify food components</v>
      </c>
      <c r="I6" s="283" t="str">
        <f>'Size Interface'!I6</f>
        <v>my shopping list is accurate</v>
      </c>
      <c r="J6" s="284" t="str">
        <f>'Size Interface'!J6</f>
        <v>the recipes use correct components</v>
      </c>
      <c r="K6" s="285" t="s">
        <v>255</v>
      </c>
      <c r="L6" s="106"/>
      <c r="M6" s="274">
        <f ca="1">'Size Interface'!M6</f>
        <v>0.41386353829043449</v>
      </c>
      <c r="N6" s="275"/>
      <c r="O6" s="7"/>
      <c r="P6" s="6"/>
    </row>
    <row r="7" spans="2:16" ht="15.75">
      <c r="B7" s="293"/>
      <c r="C7" s="294">
        <f>'Size Interface'!C7</f>
        <v>3</v>
      </c>
      <c r="D7" s="295" t="str">
        <f>'Size Interface'!D7</f>
        <v>Q003</v>
      </c>
      <c r="E7" s="275" t="str">
        <f>'Size Interface'!E7</f>
        <v>Search Recipes</v>
      </c>
      <c r="G7" s="282" t="str">
        <f>'Size Interface'!G7</f>
        <v>Kitchen User</v>
      </c>
      <c r="H7" s="283" t="str">
        <f>'Size Interface'!H7</f>
        <v>find new recipes</v>
      </c>
      <c r="I7" s="283" t="str">
        <f>'Size Interface'!I7</f>
        <v>I can select one that interests me</v>
      </c>
      <c r="J7" s="284" t="str">
        <f>'Size Interface'!J7</f>
        <v>my family and guests are impressed</v>
      </c>
      <c r="K7" s="285" t="s">
        <v>255</v>
      </c>
      <c r="L7" s="106"/>
      <c r="M7" s="274">
        <f ca="1">'Size Interface'!M7</f>
        <v>0.44751241578560169</v>
      </c>
      <c r="N7" s="275"/>
      <c r="O7" s="7"/>
      <c r="P7" s="6"/>
    </row>
    <row r="8" spans="2:16" ht="15.75">
      <c r="B8" s="293"/>
      <c r="C8" s="294">
        <f>'Size Interface'!C8</f>
        <v>4</v>
      </c>
      <c r="D8" s="295" t="str">
        <f>'Size Interface'!D8</f>
        <v>Q004</v>
      </c>
      <c r="E8" s="275" t="str">
        <f>'Size Interface'!E8</f>
        <v>Manage Inventory</v>
      </c>
      <c r="G8" s="282" t="str">
        <f>'Size Interface'!G8</f>
        <v>Kitchen User</v>
      </c>
      <c r="H8" s="283" t="str">
        <f>'Size Interface'!H8</f>
        <v>know what's in my kitchen</v>
      </c>
      <c r="I8" s="283" t="str">
        <f>'Size Interface'!I8</f>
        <v>I can get rid of obsolescent food</v>
      </c>
      <c r="J8" s="284" t="str">
        <f>'Size Interface'!J8</f>
        <v>before it decays</v>
      </c>
      <c r="K8" s="285" t="s">
        <v>255</v>
      </c>
      <c r="L8" s="106"/>
      <c r="M8" s="274">
        <f ca="1">'Size Interface'!M8</f>
        <v>0.2878498872884635</v>
      </c>
      <c r="N8" s="275"/>
      <c r="O8" s="7"/>
      <c r="P8" s="6"/>
    </row>
    <row r="9" spans="2:16" ht="15.75">
      <c r="B9" s="293"/>
      <c r="C9" s="294">
        <f>'Size Interface'!C9</f>
        <v>5</v>
      </c>
      <c r="D9" s="295" t="str">
        <f>'Size Interface'!D9</f>
        <v>Q005</v>
      </c>
      <c r="E9" s="275" t="str">
        <f>'Size Interface'!E9</f>
        <v>Shopping List</v>
      </c>
      <c r="G9" s="282" t="str">
        <f>'Size Interface'!G9</f>
        <v>Kitchen User</v>
      </c>
      <c r="H9" s="283" t="str">
        <f>'Size Interface'!H9</f>
        <v>get a shopping list</v>
      </c>
      <c r="I9" s="283" t="str">
        <f>'Size Interface'!I9</f>
        <v>I buy everything that's needed</v>
      </c>
      <c r="J9" s="284" t="str">
        <f>'Size Interface'!J9</f>
        <v>I can cook my recipe</v>
      </c>
      <c r="K9" s="285" t="s">
        <v>255</v>
      </c>
      <c r="L9" s="106"/>
      <c r="M9" s="274">
        <f ca="1">'Size Interface'!M9</f>
        <v>0.23782029916396508</v>
      </c>
      <c r="N9" s="275"/>
      <c r="O9" s="7"/>
      <c r="P9" s="6"/>
    </row>
    <row r="10" spans="2:16" ht="15.75">
      <c r="B10" s="293"/>
      <c r="C10" s="294">
        <f>'Size Interface'!C10</f>
        <v>6</v>
      </c>
      <c r="D10" s="295" t="str">
        <f>'Size Interface'!D10</f>
        <v>Q006</v>
      </c>
      <c r="E10" s="275" t="str">
        <f>'Size Interface'!E10</f>
        <v>Cooking Process</v>
      </c>
      <c r="G10" s="282" t="str">
        <f>'Size Interface'!G10</f>
        <v>Kitchen User</v>
      </c>
      <c r="H10" s="283" t="str">
        <f>'Size Interface'!H10</f>
        <v>start cooking</v>
      </c>
      <c r="I10" s="283" t="str">
        <f>'Size Interface'!I10</f>
        <v>my appliances know what I'm doing</v>
      </c>
      <c r="J10" s="284" t="str">
        <f>'Size Interface'!J10</f>
        <v>the can help me doing it right</v>
      </c>
      <c r="K10" s="285" t="s">
        <v>255</v>
      </c>
      <c r="L10" s="106"/>
      <c r="M10" s="274">
        <f ca="1">'Size Interface'!M10</f>
        <v>0.32236927610373006</v>
      </c>
      <c r="N10" s="275"/>
      <c r="O10" s="7"/>
      <c r="P10" s="6"/>
    </row>
    <row r="11" spans="2:16" ht="15.75">
      <c r="B11" s="293"/>
      <c r="C11" s="294">
        <f>'Size Interface'!C11</f>
        <v>7</v>
      </c>
      <c r="D11" s="295" t="str">
        <f>'Size Interface'!D11</f>
        <v>Q007</v>
      </c>
      <c r="E11" s="275" t="str">
        <f>'Size Interface'!E11</f>
        <v>Process Control</v>
      </c>
      <c r="G11" s="282" t="str">
        <f>'Size Interface'!G11</f>
        <v>Kitchen User</v>
      </c>
      <c r="H11" s="283" t="str">
        <f>'Size Interface'!H11</f>
        <v>execute the cooking process</v>
      </c>
      <c r="I11" s="283" t="str">
        <f>'Size Interface'!I11</f>
        <v>heat and treatment is correct</v>
      </c>
      <c r="J11" s="284" t="str">
        <f>'Size Interface'!J11</f>
        <v>boiling pans don't overspill</v>
      </c>
      <c r="K11" s="285" t="s">
        <v>255</v>
      </c>
      <c r="L11" s="106"/>
      <c r="M11" s="274">
        <f ca="1">'Size Interface'!M11</f>
        <v>0.40053228933437235</v>
      </c>
      <c r="N11" s="275"/>
      <c r="O11" s="7"/>
      <c r="P11" s="6"/>
    </row>
    <row r="12" spans="2:16" ht="16.5" thickBot="1">
      <c r="B12" s="296"/>
      <c r="C12" s="294">
        <f>'Size Interface'!C12</f>
        <v>8</v>
      </c>
      <c r="D12" s="297" t="str">
        <f>'Size Interface'!D12</f>
        <v>Q008</v>
      </c>
      <c r="E12" s="275" t="str">
        <f>'Size Interface'!E12</f>
        <v>Remember</v>
      </c>
      <c r="G12" s="282" t="str">
        <f>'Size Interface'!G12</f>
        <v>Kitchen User</v>
      </c>
      <c r="H12" s="283" t="str">
        <f>'Size Interface'!H12</f>
        <v>remember what I cooked last time</v>
      </c>
      <c r="I12" s="283" t="str">
        <f>'Size Interface'!I12</f>
        <v>for my family or guests</v>
      </c>
      <c r="J12" s="284" t="str">
        <f>'Size Interface'!J12</f>
        <v>they won't get weary of my recipes</v>
      </c>
      <c r="K12" s="285" t="s">
        <v>255</v>
      </c>
      <c r="L12" s="126"/>
      <c r="M12" s="274">
        <f ca="1">'Size Interface'!M12</f>
        <v>0.25221532909079375</v>
      </c>
      <c r="N12" s="275"/>
      <c r="O12" s="5"/>
      <c r="P12" s="4"/>
    </row>
    <row r="13" spans="2:16" ht="4.5" customHeight="1" thickBot="1">
      <c r="B13" s="298"/>
      <c r="C13" s="299"/>
      <c r="D13" s="300"/>
      <c r="E13" s="277"/>
      <c r="F13" s="306"/>
      <c r="G13" s="286"/>
      <c r="H13" s="287"/>
      <c r="I13" s="287"/>
      <c r="J13" s="288"/>
      <c r="K13" s="289"/>
      <c r="L13" s="120"/>
      <c r="M13" s="276"/>
      <c r="N13" s="277"/>
      <c r="O13" s="121"/>
      <c r="P13" s="122"/>
    </row>
  </sheetData>
  <sheetProtection sheet="1" objects="1" scenarios="1"/>
  <mergeCells count="1">
    <mergeCell ref="B4:E4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urMeasurementSheet"/>
  <dimension ref="B1:P14"/>
  <sheetViews>
    <sheetView showGridLines="0" tabSelected="1" zoomScaleNormal="100" workbookViewId="0"/>
  </sheetViews>
  <sheetFormatPr defaultColWidth="9.33203125" defaultRowHeight="15.75"/>
  <cols>
    <col min="1" max="1" width="1" style="1" customWidth="1"/>
    <col min="2" max="2" width="6.33203125" style="2" bestFit="1" customWidth="1"/>
    <col min="3" max="3" width="19.1640625" style="2" bestFit="1" customWidth="1"/>
    <col min="4" max="4" width="1" style="2" customWidth="1"/>
    <col min="5" max="5" width="46" style="2" bestFit="1" customWidth="1"/>
    <col min="6" max="6" width="45.33203125" style="2" bestFit="1" customWidth="1"/>
    <col min="7" max="7" width="36.1640625" style="2" bestFit="1" customWidth="1"/>
    <col min="8" max="8" width="31.33203125" style="2" bestFit="1" customWidth="1"/>
    <col min="9" max="9" width="39.83203125" style="2" bestFit="1" customWidth="1"/>
    <col min="10" max="10" width="49.5" style="1" bestFit="1" customWidth="1"/>
    <col min="11" max="11" width="1" style="2" customWidth="1"/>
    <col min="12" max="12" width="1" style="106" customWidth="1"/>
    <col min="13" max="13" width="8.83203125" style="1" bestFit="1" customWidth="1"/>
    <col min="14" max="14" width="1.5" style="134" customWidth="1"/>
    <col min="15" max="15" width="10" style="3" customWidth="1"/>
    <col min="16" max="16" width="10" style="2" customWidth="1"/>
    <col min="17" max="16384" width="9.33203125" style="1"/>
  </cols>
  <sheetData>
    <row r="1" spans="2:16" ht="4.5" customHeight="1"/>
    <row r="2" spans="2:16" ht="18">
      <c r="B2" s="431" t="str">
        <f>'Size Interface'!B4</f>
        <v>User Stories</v>
      </c>
      <c r="C2" s="431"/>
      <c r="D2" s="431"/>
      <c r="E2" s="431"/>
      <c r="F2" s="432"/>
      <c r="G2" s="380"/>
      <c r="H2" s="397"/>
      <c r="I2" s="397"/>
      <c r="L2" s="107"/>
      <c r="N2" s="1"/>
    </row>
    <row r="3" spans="2:16" ht="34.5" customHeight="1">
      <c r="B3" s="433" t="s">
        <v>260</v>
      </c>
      <c r="C3" s="433"/>
      <c r="D3" s="433"/>
      <c r="E3" s="105" t="str">
        <f>'Goal Interface'!GoalTopic</f>
        <v>Top Business Drivers</v>
      </c>
      <c r="O3" s="2"/>
    </row>
    <row r="4" spans="2:16" ht="16.5" thickBot="1">
      <c r="B4" s="340"/>
      <c r="C4" s="341" t="str">
        <f>Translation!Topics</f>
        <v>Topics</v>
      </c>
      <c r="E4" s="343" t="str">
        <f ca="1">CONCATENATE(OFFSET('Goal Interface'!$D$5,COLUMN()-5,0),": ",OFFSET('Goal Interface'!$E$5,COLUMN()-5,0))</f>
        <v>A03: Customer Loyalty</v>
      </c>
      <c r="F4" s="344" t="str">
        <f ca="1">CONCATENATE(OFFSET('Goal Interface'!$D$5,COLUMN()-5,0),": ",OFFSET('Goal Interface'!$E$5,COLUMN()-5,0))</f>
        <v>B01: Collect New Recipes</v>
      </c>
      <c r="G4" s="345" t="str">
        <f ca="1">CONCATENATE(OFFSET('Goal Interface'!$D$5,COLUMN()-5,0),": ",OFFSET('Goal Interface'!$E$5,COLUMN()-5,0))</f>
        <v>B02: Promote Specialities</v>
      </c>
      <c r="H4" s="345" t="str">
        <f ca="1">CONCATENATE(OFFSET('Goal Interface'!$D$5,COLUMN()-5,0),": ",OFFSET('Goal Interface'!$E$5,COLUMN()-5,0))</f>
        <v>C02: Willing to Recommend</v>
      </c>
      <c r="I4" s="345" t="str">
        <f ca="1">CONCATENATE(OFFSET('Goal Interface'!$D$5,COLUMN()-5,0),": ",OFFSET('Goal Interface'!$E$5,COLUMN()-5,0))</f>
        <v>D01: Surprise Friends</v>
      </c>
      <c r="J4" s="345" t="str">
        <f ca="1">CONCATENATE(OFFSET('Goal Interface'!$D$5,COLUMN()-5,0),": ",OFFSET('Goal Interface'!$E$5,COLUMN()-5,0))</f>
        <v>D04: Get High Esteem</v>
      </c>
      <c r="K4" s="346"/>
      <c r="M4" s="355" t="str">
        <f>Translation!Priority</f>
        <v>Priority</v>
      </c>
      <c r="N4" s="356"/>
      <c r="O4" s="2"/>
      <c r="P4" s="135"/>
    </row>
    <row r="5" spans="2:16">
      <c r="B5" s="325" t="str">
        <f>'Size Interface'!D5</f>
        <v>Q001</v>
      </c>
      <c r="C5" s="342" t="str">
        <f>'Size Interface'!E5</f>
        <v>Collect Recipes</v>
      </c>
      <c r="E5" s="347" t="s">
        <v>791</v>
      </c>
      <c r="F5" s="348" t="s">
        <v>714</v>
      </c>
      <c r="G5" s="349" t="s">
        <v>790</v>
      </c>
      <c r="H5" s="349"/>
      <c r="I5" s="349" t="s">
        <v>716</v>
      </c>
      <c r="J5" s="349" t="s">
        <v>386</v>
      </c>
      <c r="K5" s="350"/>
      <c r="M5" s="338">
        <f ca="1">OFFSET('FUR Combinator'!$E$12,0,ROW()-5)</f>
        <v>0.40133890900532454</v>
      </c>
      <c r="N5" s="357"/>
      <c r="O5" s="9"/>
      <c r="P5" s="8"/>
    </row>
    <row r="6" spans="2:16">
      <c r="B6" s="325" t="str">
        <f>'Size Interface'!D6</f>
        <v>Q002</v>
      </c>
      <c r="C6" s="342" t="str">
        <f>'Size Interface'!E6</f>
        <v>Identify Food</v>
      </c>
      <c r="E6" s="347" t="s">
        <v>707</v>
      </c>
      <c r="F6" s="348" t="s">
        <v>708</v>
      </c>
      <c r="G6" s="349" t="s">
        <v>732</v>
      </c>
      <c r="H6" s="349" t="s">
        <v>712</v>
      </c>
      <c r="I6" s="349"/>
      <c r="J6" s="349" t="s">
        <v>735</v>
      </c>
      <c r="K6" s="350"/>
      <c r="M6" s="338">
        <f ca="1">OFFSET('FUR Combinator'!$E$12,0,ROW()-5)</f>
        <v>0.41386353829043449</v>
      </c>
      <c r="N6" s="324"/>
      <c r="O6" s="7"/>
      <c r="P6" s="6"/>
    </row>
    <row r="7" spans="2:16">
      <c r="B7" s="325" t="str">
        <f>'Size Interface'!D7</f>
        <v>Q003</v>
      </c>
      <c r="C7" s="342" t="str">
        <f>'Size Interface'!E7</f>
        <v>Search Recipes</v>
      </c>
      <c r="E7" s="347"/>
      <c r="F7" s="348" t="s">
        <v>731</v>
      </c>
      <c r="G7" s="349" t="s">
        <v>713</v>
      </c>
      <c r="H7" s="349" t="s">
        <v>717</v>
      </c>
      <c r="I7" s="349" t="s">
        <v>718</v>
      </c>
      <c r="J7" s="349" t="s">
        <v>729</v>
      </c>
      <c r="K7" s="350"/>
      <c r="M7" s="338">
        <f ca="1">OFFSET('FUR Combinator'!$E$12,0,ROW()-5)</f>
        <v>0.44751241578560169</v>
      </c>
      <c r="N7" s="324"/>
      <c r="O7" s="7"/>
      <c r="P7" s="6"/>
    </row>
    <row r="8" spans="2:16">
      <c r="B8" s="325" t="str">
        <f>'Size Interface'!D8</f>
        <v>Q004</v>
      </c>
      <c r="C8" s="342" t="str">
        <f>'Size Interface'!E8</f>
        <v>Manage Inventory</v>
      </c>
      <c r="E8" s="347" t="s">
        <v>724</v>
      </c>
      <c r="F8" s="348" t="s">
        <v>711</v>
      </c>
      <c r="G8" s="349"/>
      <c r="H8" s="349" t="s">
        <v>719</v>
      </c>
      <c r="I8" s="349"/>
      <c r="J8" s="349" t="s">
        <v>726</v>
      </c>
      <c r="K8" s="350"/>
      <c r="M8" s="338">
        <f ca="1">OFFSET('FUR Combinator'!$E$12,0,ROW()-5)</f>
        <v>0.2878498872884635</v>
      </c>
      <c r="N8" s="324"/>
      <c r="O8" s="7"/>
      <c r="P8" s="6"/>
    </row>
    <row r="9" spans="2:16">
      <c r="B9" s="325" t="str">
        <f>'Size Interface'!D9</f>
        <v>Q005</v>
      </c>
      <c r="C9" s="342" t="str">
        <f>'Size Interface'!E9</f>
        <v>Shopping List</v>
      </c>
      <c r="E9" s="347"/>
      <c r="F9" s="348" t="s">
        <v>709</v>
      </c>
      <c r="G9" s="349"/>
      <c r="H9" s="349"/>
      <c r="I9" s="349" t="s">
        <v>706</v>
      </c>
      <c r="J9" s="349" t="s">
        <v>727</v>
      </c>
      <c r="K9" s="350"/>
      <c r="M9" s="338">
        <f ca="1">OFFSET('FUR Combinator'!$E$12,0,ROW()-5)</f>
        <v>0.23782029916396508</v>
      </c>
      <c r="N9" s="324"/>
      <c r="O9" s="7"/>
      <c r="P9" s="6"/>
    </row>
    <row r="10" spans="2:16">
      <c r="B10" s="325" t="str">
        <f>'Size Interface'!D10</f>
        <v>Q006</v>
      </c>
      <c r="C10" s="342" t="str">
        <f>'Size Interface'!E10</f>
        <v>Cooking Process</v>
      </c>
      <c r="E10" s="347"/>
      <c r="F10" s="348" t="s">
        <v>723</v>
      </c>
      <c r="G10" s="349" t="s">
        <v>722</v>
      </c>
      <c r="H10" s="349" t="s">
        <v>720</v>
      </c>
      <c r="I10" s="349" t="s">
        <v>728</v>
      </c>
      <c r="J10" s="349" t="s">
        <v>725</v>
      </c>
      <c r="K10" s="350"/>
      <c r="M10" s="338">
        <f ca="1">OFFSET('FUR Combinator'!$E$12,0,ROW()-5)</f>
        <v>0.32236927610373006</v>
      </c>
      <c r="N10" s="324"/>
      <c r="O10" s="7"/>
      <c r="P10" s="6"/>
    </row>
    <row r="11" spans="2:16">
      <c r="B11" s="325" t="str">
        <f>'Size Interface'!D11</f>
        <v>Q007</v>
      </c>
      <c r="C11" s="342" t="str">
        <f>'Size Interface'!E11</f>
        <v>Process Control</v>
      </c>
      <c r="E11" s="347"/>
      <c r="F11" s="348"/>
      <c r="G11" s="349"/>
      <c r="H11" s="349" t="s">
        <v>721</v>
      </c>
      <c r="I11" s="349" t="s">
        <v>733</v>
      </c>
      <c r="J11" s="349" t="s">
        <v>734</v>
      </c>
      <c r="K11" s="350"/>
      <c r="M11" s="338">
        <f ca="1">OFFSET('FUR Combinator'!$E$12,0,ROW()-5)</f>
        <v>0.40053228933437235</v>
      </c>
      <c r="N11" s="324"/>
      <c r="O11" s="7"/>
      <c r="P11" s="6"/>
    </row>
    <row r="12" spans="2:16" ht="16.5" thickBot="1">
      <c r="B12" s="325" t="str">
        <f>'Size Interface'!D12</f>
        <v>Q008</v>
      </c>
      <c r="C12" s="342" t="str">
        <f>'Size Interface'!E12</f>
        <v>Remember</v>
      </c>
      <c r="E12" s="347" t="s">
        <v>710</v>
      </c>
      <c r="F12" s="348" t="s">
        <v>730</v>
      </c>
      <c r="G12" s="349" t="s">
        <v>715</v>
      </c>
      <c r="H12" s="349"/>
      <c r="I12" s="349"/>
      <c r="J12" s="349" t="s">
        <v>245</v>
      </c>
      <c r="K12" s="350"/>
      <c r="M12" s="338">
        <f ca="1">OFFSET('FUR Combinator'!$E$12,0,ROW()-5)</f>
        <v>0.25221532909079375</v>
      </c>
      <c r="N12" s="324"/>
      <c r="O12" s="5"/>
      <c r="P12" s="4"/>
    </row>
    <row r="13" spans="2:16" ht="4.5" customHeight="1" thickBot="1">
      <c r="B13" s="327"/>
      <c r="C13" s="330"/>
      <c r="E13" s="351"/>
      <c r="F13" s="352"/>
      <c r="G13" s="353"/>
      <c r="H13" s="353"/>
      <c r="I13" s="353"/>
      <c r="J13" s="353"/>
      <c r="K13" s="354"/>
      <c r="M13" s="327"/>
      <c r="N13" s="330"/>
    </row>
    <row r="14" spans="2:16" ht="4.5" customHeight="1"/>
  </sheetData>
  <sheetProtection sheet="1" objects="1" scenarios="1"/>
  <mergeCells count="2">
    <mergeCell ref="B2:F2"/>
    <mergeCell ref="B3:D3"/>
  </mergeCells>
  <pageMargins left="0.75" right="0.75" top="1" bottom="1" header="0.5" footer="0.5"/>
  <pageSetup paperSize="9" orientation="landscape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urCombinator"/>
  <dimension ref="A1:Q17"/>
  <sheetViews>
    <sheetView showGridLines="0" zoomScaleNormal="100" workbookViewId="0">
      <pane xSplit="4" ySplit="4" topLeftCell="E5" activePane="bottomRight" state="frozen"/>
      <selection activeCell="D3" sqref="D3:H3"/>
      <selection pane="topRight" activeCell="D3" sqref="D3:H3"/>
      <selection pane="bottomLeft" activeCell="D3" sqref="D3:H3"/>
      <selection pane="bottomRight"/>
    </sheetView>
  </sheetViews>
  <sheetFormatPr defaultColWidth="9.33203125" defaultRowHeight="15.75"/>
  <cols>
    <col min="1" max="1" width="1" style="10" customWidth="1"/>
    <col min="2" max="2" width="6.1640625" style="10" bestFit="1" customWidth="1"/>
    <col min="3" max="3" width="24.1640625" style="10" bestFit="1" customWidth="1"/>
    <col min="4" max="12" width="6" style="10" customWidth="1"/>
    <col min="13" max="13" width="5" style="10" hidden="1" customWidth="1"/>
    <col min="14" max="16" width="6" style="10" customWidth="1"/>
    <col min="17" max="17" width="3.5" style="10" customWidth="1"/>
    <col min="18" max="18" width="1" style="10" customWidth="1"/>
    <col min="19" max="16384" width="9.33203125" style="10"/>
  </cols>
  <sheetData>
    <row r="1" spans="1:17" ht="4.5" customHeight="1">
      <c r="B1" s="13"/>
      <c r="C1" s="136"/>
      <c r="D1" s="13"/>
      <c r="E1" s="39"/>
      <c r="F1" s="39"/>
      <c r="G1" s="39"/>
      <c r="H1" s="39"/>
      <c r="I1" s="39"/>
      <c r="J1" s="39"/>
      <c r="K1" s="39"/>
    </row>
    <row r="2" spans="1:17" ht="18.75" customHeight="1" thickBot="1">
      <c r="B2" s="434" t="str">
        <f>'Goal Interface'!B4</f>
        <v>Top Business Drivers</v>
      </c>
      <c r="C2" s="434"/>
      <c r="D2" s="137"/>
      <c r="E2" s="39" t="str">
        <f>'Size Interface'!GoalTopic</f>
        <v>User Stories</v>
      </c>
      <c r="F2" s="39"/>
      <c r="G2" s="39"/>
      <c r="H2" s="39"/>
      <c r="I2" s="39"/>
      <c r="J2" s="39"/>
      <c r="K2" s="39"/>
      <c r="L2" s="138"/>
      <c r="N2" s="139"/>
      <c r="O2" s="11"/>
      <c r="P2" s="11"/>
      <c r="Q2" s="11"/>
    </row>
    <row r="3" spans="1:17" ht="87.75">
      <c r="B3" s="435" t="str">
        <f>Translation!Deployment_Combinator</f>
        <v>Deployment Combinator</v>
      </c>
      <c r="C3" s="435"/>
      <c r="D3" s="139" t="str">
        <f>Translation!Goal_Profile</f>
        <v>Goal Profile</v>
      </c>
      <c r="E3" s="140" t="str">
        <f ca="1">OFFSET('FURs Measured'!$C$5,COLUMN()-5,0)</f>
        <v>Collect Recipes</v>
      </c>
      <c r="F3" s="141" t="str">
        <f ca="1">OFFSET('FURs Measured'!$C$5,COLUMN()-5,0)</f>
        <v>Identify Food</v>
      </c>
      <c r="G3" s="398" t="str">
        <f ca="1">OFFSET('FURs Measured'!$C$5,COLUMN()-5,0)</f>
        <v>Search Recipes</v>
      </c>
      <c r="H3" s="398" t="str">
        <f ca="1">OFFSET('FURs Measured'!$C$5,COLUMN()-5,0)</f>
        <v>Manage Inventory</v>
      </c>
      <c r="I3" s="398" t="str">
        <f ca="1">OFFSET('FURs Measured'!$C$5,COLUMN()-5,0)</f>
        <v>Shopping List</v>
      </c>
      <c r="J3" s="398" t="str">
        <f ca="1">OFFSET('FURs Measured'!$C$5,COLUMN()-5,0)</f>
        <v>Cooking Process</v>
      </c>
      <c r="K3" s="398" t="str">
        <f ca="1">OFFSET('FURs Measured'!$C$5,COLUMN()-5,0)</f>
        <v>Process Control</v>
      </c>
      <c r="L3" s="142" t="str">
        <f ca="1">OFFSET('FURs Measured'!$C$5,COLUMN()-5,0)</f>
        <v>Remember</v>
      </c>
      <c r="M3" s="38"/>
      <c r="N3" s="139" t="str">
        <f>Translation!Effective_Profile</f>
        <v>Achieved Profile</v>
      </c>
      <c r="O3" s="143"/>
      <c r="P3" s="143"/>
      <c r="Q3" s="34"/>
    </row>
    <row r="4" spans="1:17" ht="29.25" thickBot="1">
      <c r="B4" s="436" t="str">
        <f>'Goal Interface'!GoalTopic</f>
        <v>Top Business Drivers</v>
      </c>
      <c r="C4" s="436"/>
      <c r="D4" s="37"/>
      <c r="E4" s="144" t="str">
        <f ca="1">OFFSET('FURs Measured'!$B$5,COLUMN()-5,0)</f>
        <v>Q001</v>
      </c>
      <c r="F4" s="145" t="str">
        <f ca="1">OFFSET('FURs Measured'!$B$5,COLUMN()-5,0)</f>
        <v>Q002</v>
      </c>
      <c r="G4" s="399" t="str">
        <f ca="1">OFFSET('FURs Measured'!$B$5,COLUMN()-5,0)</f>
        <v>Q003</v>
      </c>
      <c r="H4" s="399" t="str">
        <f ca="1">OFFSET('FURs Measured'!$B$5,COLUMN()-5,0)</f>
        <v>Q004</v>
      </c>
      <c r="I4" s="399" t="str">
        <f ca="1">OFFSET('FURs Measured'!$B$5,COLUMN()-5,0)</f>
        <v>Q005</v>
      </c>
      <c r="J4" s="399" t="str">
        <f ca="1">OFFSET('FURs Measured'!$B$5,COLUMN()-5,0)</f>
        <v>Q006</v>
      </c>
      <c r="K4" s="399" t="str">
        <f ca="1">OFFSET('FURs Measured'!$B$5,COLUMN()-5,0)</f>
        <v>Q007</v>
      </c>
      <c r="L4" s="146" t="str">
        <f ca="1">OFFSET('FURs Measured'!$B$5,COLUMN()-5,0)</f>
        <v>Q008</v>
      </c>
      <c r="M4" s="36">
        <f ca="1">SQRT(SUMSQ(M5:M10))</f>
        <v>23.927677448721365</v>
      </c>
      <c r="N4" s="147"/>
      <c r="O4" s="35"/>
      <c r="P4" s="35"/>
      <c r="Q4" s="34"/>
    </row>
    <row r="5" spans="1:17" ht="28.5" customHeight="1">
      <c r="B5" s="148" t="str">
        <f>'Goal Interface'!D5</f>
        <v>A03</v>
      </c>
      <c r="C5" s="149" t="str">
        <f>'Goal Interface'!E5</f>
        <v>Customer Loyalty</v>
      </c>
      <c r="D5" s="150">
        <f>'Goal Interface'!K5</f>
        <v>0.30937850082555501</v>
      </c>
      <c r="E5" s="151">
        <f ca="1">CountFunctionalSize(OFFSET('FURs Measured'!$E$5,COLUMN()-5,ROW()-5))</f>
        <v>9</v>
      </c>
      <c r="F5" s="152">
        <f ca="1">CountFunctionalSize(OFFSET('FURs Measured'!$E$5,COLUMN()-5,ROW()-5))</f>
        <v>3</v>
      </c>
      <c r="G5" s="400">
        <f ca="1">CountFunctionalSize(OFFSET('FURs Measured'!$E$5,COLUMN()-5,ROW()-5))</f>
        <v>0</v>
      </c>
      <c r="H5" s="400">
        <f ca="1">CountFunctionalSize(OFFSET('FURs Measured'!$E$5,COLUMN()-5,ROW()-5))</f>
        <v>4</v>
      </c>
      <c r="I5" s="400">
        <f ca="1">CountFunctionalSize(OFFSET('FURs Measured'!$E$5,COLUMN()-5,ROW()-5))</f>
        <v>0</v>
      </c>
      <c r="J5" s="400">
        <f ca="1">CountFunctionalSize(OFFSET('FURs Measured'!$E$5,COLUMN()-5,ROW()-5))</f>
        <v>0</v>
      </c>
      <c r="K5" s="400">
        <f ca="1">CountFunctionalSize(OFFSET('FURs Measured'!$E$5,COLUMN()-5,ROW()-5))</f>
        <v>0</v>
      </c>
      <c r="L5" s="153">
        <f ca="1">CountFunctionalSize(OFFSET('FURs Measured'!$E$5,COLUMN()-5,ROW()-5))</f>
        <v>5</v>
      </c>
      <c r="M5" s="154">
        <f t="shared" ref="M5:M10" ca="1" si="0">SUMPRODUCT(E5:L5,SolutionControls)</f>
        <v>7.2661169905270473</v>
      </c>
      <c r="N5" s="308">
        <f t="shared" ref="N5:N9" ca="1" si="1">Normalize(M5,MaximumConvergence)</f>
        <v>0.30366996571643146</v>
      </c>
      <c r="O5" s="33"/>
      <c r="P5" s="32"/>
      <c r="Q5" s="31"/>
    </row>
    <row r="6" spans="1:17" ht="28.5" customHeight="1">
      <c r="B6" s="155" t="str">
        <f>'Goal Interface'!D6</f>
        <v>B01</v>
      </c>
      <c r="C6" s="156" t="str">
        <f>'Goal Interface'!E6</f>
        <v>Collect New Recipes</v>
      </c>
      <c r="D6" s="157">
        <f>'Goal Interface'!K6</f>
        <v>0.53527224156359554</v>
      </c>
      <c r="E6" s="158">
        <f ca="1">CountFunctionalSize(OFFSET('FURs Measured'!$E$5,COLUMN()-5,ROW()-5))</f>
        <v>5</v>
      </c>
      <c r="F6" s="159">
        <f ca="1">CountFunctionalSize(OFFSET('FURs Measured'!$E$5,COLUMN()-5,ROW()-5))</f>
        <v>5</v>
      </c>
      <c r="G6" s="401">
        <f ca="1">CountFunctionalSize(OFFSET('FURs Measured'!$E$5,COLUMN()-5,ROW()-5))</f>
        <v>9</v>
      </c>
      <c r="H6" s="401">
        <f ca="1">CountFunctionalSize(OFFSET('FURs Measured'!$E$5,COLUMN()-5,ROW()-5))</f>
        <v>4</v>
      </c>
      <c r="I6" s="401">
        <f ca="1">CountFunctionalSize(OFFSET('FURs Measured'!$E$5,COLUMN()-5,ROW()-5))</f>
        <v>6</v>
      </c>
      <c r="J6" s="401">
        <f ca="1">CountFunctionalSize(OFFSET('FURs Measured'!$E$5,COLUMN()-5,ROW()-5))</f>
        <v>4</v>
      </c>
      <c r="K6" s="401">
        <f ca="1">CountFunctionalSize(OFFSET('FURs Measured'!$E$5,COLUMN()-5,ROW()-5))</f>
        <v>0</v>
      </c>
      <c r="L6" s="160">
        <f ca="1">CountFunctionalSize(OFFSET('FURs Measured'!$E$5,COLUMN()-5,ROW()-5))</f>
        <v>6</v>
      </c>
      <c r="M6" s="161">
        <f t="shared" ca="1" si="0"/>
        <v>13.484714401646537</v>
      </c>
      <c r="N6" s="309">
        <f t="shared" ca="1" si="1"/>
        <v>0.56356135820307651</v>
      </c>
      <c r="O6" s="30"/>
      <c r="P6" s="29"/>
      <c r="Q6" s="28"/>
    </row>
    <row r="7" spans="1:17" ht="28.5" customHeight="1">
      <c r="B7" s="381" t="str">
        <f>'Goal Interface'!D7</f>
        <v>B02</v>
      </c>
      <c r="C7" s="382" t="str">
        <f>'Goal Interface'!E7</f>
        <v>Promote Specialities</v>
      </c>
      <c r="D7" s="383">
        <f>'Goal Interface'!K7</f>
        <v>0.26763612078179777</v>
      </c>
      <c r="E7" s="384">
        <f ca="1">CountFunctionalSize(OFFSET('FURs Measured'!$E$5,COLUMN()-5,ROW()-5))</f>
        <v>7</v>
      </c>
      <c r="F7" s="385">
        <f ca="1">CountFunctionalSize(OFFSET('FURs Measured'!$E$5,COLUMN()-5,ROW()-5))</f>
        <v>3</v>
      </c>
      <c r="G7" s="402">
        <f ca="1">CountFunctionalSize(OFFSET('FURs Measured'!$E$5,COLUMN()-5,ROW()-5))</f>
        <v>4</v>
      </c>
      <c r="H7" s="402">
        <f ca="1">CountFunctionalSize(OFFSET('FURs Measured'!$E$5,COLUMN()-5,ROW()-5))</f>
        <v>0</v>
      </c>
      <c r="I7" s="402">
        <f ca="1">CountFunctionalSize(OFFSET('FURs Measured'!$E$5,COLUMN()-5,ROW()-5))</f>
        <v>0</v>
      </c>
      <c r="J7" s="402">
        <f ca="1">CountFunctionalSize(OFFSET('FURs Measured'!$E$5,COLUMN()-5,ROW()-5))</f>
        <v>2</v>
      </c>
      <c r="K7" s="402">
        <f ca="1">CountFunctionalSize(OFFSET('FURs Measured'!$E$5,COLUMN()-5,ROW()-5))</f>
        <v>0</v>
      </c>
      <c r="L7" s="386">
        <f ca="1">CountFunctionalSize(OFFSET('FURs Measured'!$E$5,COLUMN()-5,ROW()-5))</f>
        <v>2</v>
      </c>
      <c r="M7" s="387">
        <f t="shared" ca="1" si="0"/>
        <v>6.9901818514400302</v>
      </c>
      <c r="N7" s="388">
        <f t="shared" ca="1" si="1"/>
        <v>0.29213791712214709</v>
      </c>
      <c r="O7" s="30"/>
      <c r="P7" s="29"/>
      <c r="Q7" s="28"/>
    </row>
    <row r="8" spans="1:17" ht="28.5" customHeight="1">
      <c r="B8" s="381" t="str">
        <f>'Goal Interface'!D8</f>
        <v>C02</v>
      </c>
      <c r="C8" s="382" t="str">
        <f>'Goal Interface'!E8</f>
        <v>Willing to Recommend</v>
      </c>
      <c r="D8" s="383">
        <f>'Goal Interface'!K8</f>
        <v>0.36564097949418761</v>
      </c>
      <c r="E8" s="384">
        <f ca="1">CountFunctionalSize(OFFSET('FURs Measured'!$E$5,COLUMN()-5,ROW()-5))</f>
        <v>0</v>
      </c>
      <c r="F8" s="385">
        <f ca="1">CountFunctionalSize(OFFSET('FURs Measured'!$E$5,COLUMN()-5,ROW()-5))</f>
        <v>6</v>
      </c>
      <c r="G8" s="402">
        <f ca="1">CountFunctionalSize(OFFSET('FURs Measured'!$E$5,COLUMN()-5,ROW()-5))</f>
        <v>5</v>
      </c>
      <c r="H8" s="402">
        <f ca="1">CountFunctionalSize(OFFSET('FURs Measured'!$E$5,COLUMN()-5,ROW()-5))</f>
        <v>2</v>
      </c>
      <c r="I8" s="402">
        <f ca="1">CountFunctionalSize(OFFSET('FURs Measured'!$E$5,COLUMN()-5,ROW()-5))</f>
        <v>0</v>
      </c>
      <c r="J8" s="402">
        <f ca="1">CountFunctionalSize(OFFSET('FURs Measured'!$E$5,COLUMN()-5,ROW()-5))</f>
        <v>2</v>
      </c>
      <c r="K8" s="402">
        <f ca="1">CountFunctionalSize(OFFSET('FURs Measured'!$E$5,COLUMN()-5,ROW()-5))</f>
        <v>5</v>
      </c>
      <c r="L8" s="386">
        <f ca="1">CountFunctionalSize(OFFSET('FURs Measured'!$E$5,COLUMN()-5,ROW()-5))</f>
        <v>0</v>
      </c>
      <c r="M8" s="387">
        <f t="shared" ca="1" si="0"/>
        <v>7.9438430821268646</v>
      </c>
      <c r="N8" s="388">
        <f t="shared" ca="1" si="1"/>
        <v>0.33199390534877693</v>
      </c>
      <c r="O8" s="30"/>
      <c r="P8" s="29"/>
      <c r="Q8" s="28"/>
    </row>
    <row r="9" spans="1:17" ht="28.5" customHeight="1">
      <c r="B9" s="381" t="str">
        <f>'Goal Interface'!D9</f>
        <v>D01</v>
      </c>
      <c r="C9" s="382" t="str">
        <f>'Goal Interface'!E9</f>
        <v>Surprise Friends</v>
      </c>
      <c r="D9" s="383">
        <f>'Goal Interface'!K9</f>
        <v>0.31625801046588459</v>
      </c>
      <c r="E9" s="384">
        <f ca="1">CountFunctionalSize(OFFSET('FURs Measured'!$E$5,COLUMN()-5,ROW()-5))</f>
        <v>3</v>
      </c>
      <c r="F9" s="385">
        <f ca="1">CountFunctionalSize(OFFSET('FURs Measured'!$E$5,COLUMN()-5,ROW()-5))</f>
        <v>0</v>
      </c>
      <c r="G9" s="402">
        <f ca="1">CountFunctionalSize(OFFSET('FURs Measured'!$E$5,COLUMN()-5,ROW()-5))</f>
        <v>2</v>
      </c>
      <c r="H9" s="402">
        <f ca="1">CountFunctionalSize(OFFSET('FURs Measured'!$E$5,COLUMN()-5,ROW()-5))</f>
        <v>0</v>
      </c>
      <c r="I9" s="402">
        <f ca="1">CountFunctionalSize(OFFSET('FURs Measured'!$E$5,COLUMN()-5,ROW()-5))</f>
        <v>4</v>
      </c>
      <c r="J9" s="402">
        <f ca="1">CountFunctionalSize(OFFSET('FURs Measured'!$E$5,COLUMN()-5,ROW()-5))</f>
        <v>3</v>
      </c>
      <c r="K9" s="402">
        <f ca="1">CountFunctionalSize(OFFSET('FURs Measured'!$E$5,COLUMN()-5,ROW()-5))</f>
        <v>8</v>
      </c>
      <c r="L9" s="386">
        <f ca="1">CountFunctionalSize(OFFSET('FURs Measured'!$E$5,COLUMN()-5,ROW()-5))</f>
        <v>0</v>
      </c>
      <c r="M9" s="387">
        <f t="shared" ca="1" si="0"/>
        <v>7.2216888982292069</v>
      </c>
      <c r="N9" s="388">
        <f t="shared" ca="1" si="1"/>
        <v>0.30181319995247241</v>
      </c>
      <c r="O9" s="30"/>
      <c r="P9" s="29"/>
      <c r="Q9" s="28"/>
    </row>
    <row r="10" spans="1:17" ht="28.5" customHeight="1" thickBot="1">
      <c r="B10" s="162" t="str">
        <f>'Goal Interface'!D10</f>
        <v>D04</v>
      </c>
      <c r="C10" s="163" t="str">
        <f>'Goal Interface'!E10</f>
        <v>Get High Esteem</v>
      </c>
      <c r="D10" s="164">
        <f>'Goal Interface'!K10</f>
        <v>0.5589517174336065</v>
      </c>
      <c r="E10" s="165">
        <f ca="1">CountFunctionalSize(OFFSET('FURs Measured'!$E$5,COLUMN()-5,ROW()-5))</f>
        <v>2</v>
      </c>
      <c r="F10" s="166">
        <f ca="1">CountFunctionalSize(OFFSET('FURs Measured'!$E$5,COLUMN()-5,ROW()-5))</f>
        <v>6</v>
      </c>
      <c r="G10" s="403">
        <f ca="1">CountFunctionalSize(OFFSET('FURs Measured'!$E$5,COLUMN()-5,ROW()-5))</f>
        <v>4</v>
      </c>
      <c r="H10" s="403">
        <f ca="1">CountFunctionalSize(OFFSET('FURs Measured'!$E$5,COLUMN()-5,ROW()-5))</f>
        <v>5</v>
      </c>
      <c r="I10" s="403">
        <f ca="1">CountFunctionalSize(OFFSET('FURs Measured'!$E$5,COLUMN()-5,ROW()-5))</f>
        <v>2</v>
      </c>
      <c r="J10" s="403">
        <f ca="1">CountFunctionalSize(OFFSET('FURs Measured'!$E$5,COLUMN()-5,ROW()-5))</f>
        <v>6</v>
      </c>
      <c r="K10" s="403">
        <f ca="1">CountFunctionalSize(OFFSET('FURs Measured'!$E$5,COLUMN()-5,ROW()-5))</f>
        <v>10</v>
      </c>
      <c r="L10" s="167">
        <f ca="1">CountFunctionalSize(OFFSET('FURs Measured'!$E$5,COLUMN()-5,ROW()-5))</f>
        <v>1</v>
      </c>
      <c r="M10" s="168">
        <f t="shared" ca="1" si="0"/>
        <v>13.182552624722808</v>
      </c>
      <c r="N10" s="310">
        <f ca="1">Normalize(M10,MaximumConvergence)</f>
        <v>0.55093323006271344</v>
      </c>
      <c r="O10" s="27"/>
      <c r="P10" s="26"/>
      <c r="Q10" s="25"/>
    </row>
    <row r="11" spans="1:17" ht="16.5" hidden="1">
      <c r="A11" s="13"/>
      <c r="B11" s="13"/>
      <c r="C11" s="13"/>
      <c r="D11" s="23" t="str">
        <f>Translation!Initial_Guess</f>
        <v>Raw Profile</v>
      </c>
      <c r="E11" s="169">
        <f t="shared" ref="E11:L11" ca="1" si="2">SUMPRODUCT(ExpectedResponse,E5:E10)</f>
        <v>9.4008980269854252</v>
      </c>
      <c r="F11" s="170">
        <f t="shared" ca="1" si="2"/>
        <v>9.9549612542068004</v>
      </c>
      <c r="G11" s="404">
        <f t="shared" ca="1" si="2"/>
        <v>10.584522445336685</v>
      </c>
      <c r="H11" s="404">
        <f t="shared" ca="1" si="2"/>
        <v>6.9046435157130093</v>
      </c>
      <c r="I11" s="404">
        <f t="shared" ca="1" si="2"/>
        <v>5.5945689261123253</v>
      </c>
      <c r="J11" s="404">
        <f t="shared" ca="1" si="2"/>
        <v>7.710127502805646</v>
      </c>
      <c r="K11" s="404">
        <f t="shared" ca="1" si="2"/>
        <v>9.9477861555340787</v>
      </c>
      <c r="L11" s="171">
        <f t="shared" ca="1" si="2"/>
        <v>5.8527499125065505</v>
      </c>
      <c r="M11" s="24">
        <f ca="1">SQRT(SUMSQ(E11:L11))</f>
        <v>23.898593123332038</v>
      </c>
    </row>
    <row r="12" spans="1:17" ht="17.25" thickBot="1">
      <c r="A12" s="13"/>
      <c r="B12" s="13"/>
      <c r="C12" s="13"/>
      <c r="D12" s="23" t="str">
        <f>CONCATENATE(Translation!Solution_Profile,Translation!_for_,SolutionTopic)</f>
        <v>Solution Profile for User Stories</v>
      </c>
      <c r="E12" s="311">
        <f t="array" aca="1" ref="E12:L12" ca="1">EigenControls(TransferFunction)</f>
        <v>0.40133890900532454</v>
      </c>
      <c r="F12" s="312">
        <f ca="1"/>
        <v>0.41386353829043449</v>
      </c>
      <c r="G12" s="405">
        <f ca="1"/>
        <v>0.44751241578560169</v>
      </c>
      <c r="H12" s="405">
        <f ca="1"/>
        <v>0.2878498872884635</v>
      </c>
      <c r="I12" s="405">
        <f ca="1"/>
        <v>0.23782029916396508</v>
      </c>
      <c r="J12" s="405">
        <f ca="1"/>
        <v>0.32236927610373006</v>
      </c>
      <c r="K12" s="405">
        <f ca="1"/>
        <v>0.40053228933437235</v>
      </c>
      <c r="L12" s="313">
        <f ca="1"/>
        <v>0.25221532909079375</v>
      </c>
      <c r="M12" s="172"/>
      <c r="N12" s="173" t="str">
        <f>Translation!Convergence_Factor</f>
        <v>Convergence Gap</v>
      </c>
      <c r="O12" s="22"/>
      <c r="P12" s="22"/>
      <c r="Q12" s="174"/>
    </row>
    <row r="13" spans="1:17" ht="16.5">
      <c r="A13" s="13"/>
      <c r="B13" s="13"/>
      <c r="C13" s="13"/>
      <c r="D13" s="23"/>
      <c r="E13" s="175">
        <f t="shared" ref="E13:L13" ca="1" si="3">Normalize(E11,MaximumWeight)</f>
        <v>0.39336616923309142</v>
      </c>
      <c r="F13" s="176">
        <f t="shared" ca="1" si="3"/>
        <v>0.4165500957664256</v>
      </c>
      <c r="G13" s="176">
        <f t="shared" ca="1" si="3"/>
        <v>0.44289311888418592</v>
      </c>
      <c r="H13" s="176">
        <f t="shared" ca="1" si="3"/>
        <v>0.28891422520483229</v>
      </c>
      <c r="I13" s="176">
        <f t="shared" ca="1" si="3"/>
        <v>0.23409616194730662</v>
      </c>
      <c r="J13" s="176">
        <f t="shared" ca="1" si="3"/>
        <v>0.3226184680837258</v>
      </c>
      <c r="K13" s="176">
        <f t="shared" ca="1" si="3"/>
        <v>0.41624986475970088</v>
      </c>
      <c r="L13" s="177">
        <f t="shared" ca="1" si="3"/>
        <v>0.24489934961035634</v>
      </c>
      <c r="M13" s="172"/>
      <c r="N13" s="12"/>
      <c r="O13" s="12"/>
      <c r="P13" s="178">
        <f ca="1">VectorDifference(ExpectedResponse,EffectiveResponse)</f>
        <v>5.3275452192079326E-2</v>
      </c>
    </row>
    <row r="14" spans="1:17" ht="16.5">
      <c r="A14" s="13"/>
      <c r="B14" s="179">
        <v>0.1</v>
      </c>
      <c r="C14" s="21" t="str">
        <f>Translation!Convergence_Range</f>
        <v xml:space="preserve">Convergence Range   </v>
      </c>
      <c r="D14" s="13"/>
      <c r="E14" s="20"/>
      <c r="F14" s="19"/>
      <c r="G14" s="19"/>
      <c r="H14" s="19"/>
      <c r="I14" s="19"/>
      <c r="J14" s="19"/>
      <c r="K14" s="19"/>
      <c r="L14" s="18"/>
      <c r="M14" s="13"/>
      <c r="N14" s="173"/>
      <c r="O14" s="22"/>
      <c r="P14" s="22"/>
      <c r="Q14" s="12"/>
    </row>
    <row r="15" spans="1:17" ht="16.5">
      <c r="A15" s="13"/>
      <c r="B15" s="179">
        <v>0.2</v>
      </c>
      <c r="C15" s="21" t="str">
        <f>Translation!Convergence_Limit</f>
        <v>Convergence Limit</v>
      </c>
      <c r="D15" s="13"/>
      <c r="E15" s="20"/>
      <c r="F15" s="19"/>
      <c r="G15" s="19"/>
      <c r="H15" s="19"/>
      <c r="I15" s="19"/>
      <c r="J15" s="19"/>
      <c r="K15" s="19"/>
      <c r="L15" s="18"/>
      <c r="M15" s="13"/>
      <c r="N15" s="180"/>
      <c r="O15" s="13"/>
      <c r="P15" s="17"/>
      <c r="Q15" s="12"/>
    </row>
    <row r="16" spans="1:17" ht="16.5" thickBot="1">
      <c r="A16" s="13"/>
      <c r="B16" s="13"/>
      <c r="C16" s="13"/>
      <c r="D16" s="13"/>
      <c r="E16" s="16"/>
      <c r="F16" s="15"/>
      <c r="G16" s="15"/>
      <c r="H16" s="15"/>
      <c r="I16" s="15"/>
      <c r="J16" s="15"/>
      <c r="K16" s="15"/>
      <c r="L16" s="14"/>
      <c r="M16" s="13"/>
      <c r="N16" s="181"/>
      <c r="O16" s="13"/>
      <c r="P16" s="13"/>
      <c r="Q16" s="12"/>
    </row>
    <row r="17" spans="17:17" ht="4.5" customHeight="1">
      <c r="Q17" s="11"/>
    </row>
  </sheetData>
  <sheetProtection sheet="1" objects="1" scenarios="1"/>
  <mergeCells count="3">
    <mergeCell ref="B2:C2"/>
    <mergeCell ref="B3:C3"/>
    <mergeCell ref="B4:C4"/>
  </mergeCells>
  <conditionalFormatting sqref="N16">
    <cfRule type="expression" dxfId="15" priority="6" stopIfTrue="1">
      <formula>ISBLANK(N15)</formula>
    </cfRule>
  </conditionalFormatting>
  <conditionalFormatting sqref="N4 P13">
    <cfRule type="cellIs" dxfId="14" priority="7" stopIfTrue="1" operator="between">
      <formula>ConvergenceRange</formula>
      <formula>ConvergenceLimit</formula>
    </cfRule>
    <cfRule type="cellIs" dxfId="13" priority="8" stopIfTrue="1" operator="greaterThan">
      <formula>ConvergenceLimit</formula>
    </cfRule>
  </conditionalFormatting>
  <conditionalFormatting sqref="E5:L10">
    <cfRule type="cellIs" dxfId="12" priority="3" stopIfTrue="1" operator="greaterThan">
      <formula>6</formula>
    </cfRule>
    <cfRule type="cellIs" dxfId="11" priority="4" stopIfTrue="1" operator="greaterThan">
      <formula>2</formula>
    </cfRule>
    <cfRule type="cellIs" dxfId="10" priority="5" stopIfTrue="1" operator="greaterThan">
      <formula>0</formula>
    </cfRule>
  </conditionalFormatting>
  <conditionalFormatting sqref="P15">
    <cfRule type="expression" dxfId="9" priority="1" stopIfTrue="1">
      <formula>AND(1-ConfidenceInterval&gt;ConvergenceRange,1-ConfidenceInterval&lt;=ConvergenceLimit)</formula>
    </cfRule>
    <cfRule type="expression" dxfId="8" priority="2" stopIfTrue="1">
      <formula>1-ConfidenceInterval&gt;ConvergenceLimit</formula>
    </cfRule>
  </conditionalFormatting>
  <dataValidations count="1">
    <dataValidation type="decimal" errorStyle="warning" showErrorMessage="1" promptTitle="Enter Number" prompt="Cell must not be left empty!" sqref="E5:L10">
      <formula1>-999999</formula1>
      <formula2>999999</formula2>
    </dataValidation>
  </dataValidations>
  <printOptions horizontalCentered="1" verticalCentered="1" gridLinesSet="0"/>
  <pageMargins left="0.55000000000000004" right="0.1" top="0.2" bottom="0.1" header="0.5" footer="0.5"/>
  <pageSetup paperSize="9" orientation="landscape" horizontalDpi="300" verticalDpi="300" r:id="rId1"/>
  <headerFooter alignWithMargins="0">
    <oddFooter>&amp;L&amp;"Arial,Regular"&amp;8&amp;D&amp;R&amp;"Arial,Regular"&amp;8&amp;F-&amp;A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urCombinatorSorted"/>
  <dimension ref="A1:Q18"/>
  <sheetViews>
    <sheetView showGridLines="0" zoomScaleNormal="100" workbookViewId="0">
      <pane xSplit="4" ySplit="4" topLeftCell="E5" activePane="bottomRight" state="frozen"/>
      <selection activeCell="D3" sqref="D3:H3"/>
      <selection pane="topRight" activeCell="D3" sqref="D3:H3"/>
      <selection pane="bottomLeft" activeCell="D3" sqref="D3:H3"/>
      <selection pane="bottomRight"/>
    </sheetView>
  </sheetViews>
  <sheetFormatPr defaultColWidth="9.33203125" defaultRowHeight="15.75"/>
  <cols>
    <col min="1" max="1" width="1" style="11" customWidth="1"/>
    <col min="2" max="2" width="6.1640625" style="11" bestFit="1" customWidth="1"/>
    <col min="3" max="3" width="24.1640625" style="11" bestFit="1" customWidth="1"/>
    <col min="4" max="12" width="6" style="11" customWidth="1"/>
    <col min="13" max="13" width="5" style="11" hidden="1" customWidth="1"/>
    <col min="14" max="16" width="6" style="11" customWidth="1"/>
    <col min="17" max="17" width="3.5" style="11" customWidth="1"/>
    <col min="18" max="18" width="1" style="11" customWidth="1"/>
    <col min="19" max="16384" width="9.33203125" style="11"/>
  </cols>
  <sheetData>
    <row r="1" spans="1:17" ht="4.5" customHeight="1">
      <c r="B1" s="12"/>
      <c r="C1" s="247"/>
      <c r="D1" s="12"/>
    </row>
    <row r="2" spans="1:17" ht="18.75" customHeight="1" thickBot="1">
      <c r="B2" s="437" t="str">
        <f>'FUR Combinator'!B2</f>
        <v>Top Business Drivers</v>
      </c>
      <c r="C2" s="437"/>
      <c r="D2" s="248"/>
      <c r="E2" s="219" t="str">
        <f>'FUR Combinator'!SolutionTopic</f>
        <v>User Stories</v>
      </c>
      <c r="F2" s="219"/>
      <c r="G2" s="219"/>
      <c r="H2" s="219"/>
      <c r="I2" s="219"/>
      <c r="J2" s="219"/>
      <c r="K2" s="219"/>
      <c r="L2" s="219"/>
      <c r="N2" s="139"/>
    </row>
    <row r="3" spans="1:17" ht="87.75">
      <c r="B3" s="438" t="str">
        <f>'FUR Combinator'!B3</f>
        <v>Deployment Combinator</v>
      </c>
      <c r="C3" s="438"/>
      <c r="D3" s="139" t="str">
        <f>'FUR Combinator'!D3</f>
        <v>Goal Profile</v>
      </c>
      <c r="E3" s="140" t="str">
        <f ca="1">'FUR Combinator'!E3</f>
        <v>Collect Recipes</v>
      </c>
      <c r="F3" s="141" t="str">
        <f ca="1">'FUR Combinator'!F3</f>
        <v>Identify Food</v>
      </c>
      <c r="G3" s="398" t="str">
        <f ca="1">'FUR Combinator'!G3</f>
        <v>Search Recipes</v>
      </c>
      <c r="H3" s="398" t="str">
        <f ca="1">'FUR Combinator'!H3</f>
        <v>Manage Inventory</v>
      </c>
      <c r="I3" s="398" t="str">
        <f ca="1">'FUR Combinator'!I3</f>
        <v>Shopping List</v>
      </c>
      <c r="J3" s="398" t="str">
        <f ca="1">'FUR Combinator'!J3</f>
        <v>Cooking Process</v>
      </c>
      <c r="K3" s="398" t="str">
        <f ca="1">'FUR Combinator'!K3</f>
        <v>Process Control</v>
      </c>
      <c r="L3" s="142" t="str">
        <f ca="1">'FUR Combinator'!L3</f>
        <v>Remember</v>
      </c>
      <c r="M3" s="63"/>
      <c r="N3" s="139" t="str">
        <f>'FUR Combinator'!N3</f>
        <v>Achieved Profile</v>
      </c>
      <c r="O3" s="143"/>
      <c r="P3" s="143"/>
      <c r="Q3" s="34"/>
    </row>
    <row r="4" spans="1:17" ht="29.25" thickBot="1">
      <c r="B4" s="439" t="str">
        <f>'FUR Combinator'!B4</f>
        <v>Top Business Drivers</v>
      </c>
      <c r="C4" s="439"/>
      <c r="D4" s="224"/>
      <c r="E4" s="144" t="str">
        <f ca="1">'FUR Combinator'!E4</f>
        <v>Q001</v>
      </c>
      <c r="F4" s="145" t="str">
        <f ca="1">'FUR Combinator'!F4</f>
        <v>Q002</v>
      </c>
      <c r="G4" s="399" t="str">
        <f ca="1">'FUR Combinator'!G4</f>
        <v>Q003</v>
      </c>
      <c r="H4" s="399" t="str">
        <f ca="1">'FUR Combinator'!H4</f>
        <v>Q004</v>
      </c>
      <c r="I4" s="399" t="str">
        <f ca="1">'FUR Combinator'!I4</f>
        <v>Q005</v>
      </c>
      <c r="J4" s="399" t="str">
        <f ca="1">'FUR Combinator'!J4</f>
        <v>Q006</v>
      </c>
      <c r="K4" s="399" t="str">
        <f ca="1">'FUR Combinator'!K4</f>
        <v>Q007</v>
      </c>
      <c r="L4" s="146" t="str">
        <f ca="1">'FUR Combinator'!L4</f>
        <v>Q008</v>
      </c>
      <c r="M4" s="249">
        <f ca="1">'FUR Combinator'!M4</f>
        <v>23.927677448721365</v>
      </c>
      <c r="N4" s="250"/>
      <c r="O4" s="35"/>
      <c r="P4" s="35"/>
      <c r="Q4" s="34"/>
    </row>
    <row r="5" spans="1:17" ht="28.5" customHeight="1">
      <c r="B5" s="148" t="str">
        <f>'FUR Combinator'!B10</f>
        <v>D04</v>
      </c>
      <c r="C5" s="149" t="str">
        <f>'FUR Combinator'!C10</f>
        <v>Get High Esteem</v>
      </c>
      <c r="D5" s="150">
        <f>'FUR Combinator'!D10</f>
        <v>0.5589517174336065</v>
      </c>
      <c r="E5" s="151">
        <f ca="1">'FUR Combinator'!E10</f>
        <v>2</v>
      </c>
      <c r="F5" s="152">
        <f ca="1">'FUR Combinator'!F10</f>
        <v>6</v>
      </c>
      <c r="G5" s="400">
        <f ca="1">'FUR Combinator'!G10</f>
        <v>4</v>
      </c>
      <c r="H5" s="400">
        <f ca="1">'FUR Combinator'!H10</f>
        <v>5</v>
      </c>
      <c r="I5" s="400">
        <f ca="1">'FUR Combinator'!I10</f>
        <v>2</v>
      </c>
      <c r="J5" s="400">
        <f ca="1">'FUR Combinator'!J10</f>
        <v>6</v>
      </c>
      <c r="K5" s="400">
        <f ca="1">'FUR Combinator'!K10</f>
        <v>10</v>
      </c>
      <c r="L5" s="153">
        <f ca="1">'FUR Combinator'!L10</f>
        <v>1</v>
      </c>
      <c r="M5" s="154">
        <f ca="1">'FUR Combinator'!M10</f>
        <v>13.182552624722808</v>
      </c>
      <c r="N5" s="308">
        <f ca="1">'FUR Combinator'!N10</f>
        <v>0.55093323006271344</v>
      </c>
      <c r="O5" s="33"/>
      <c r="P5" s="32"/>
      <c r="Q5" s="31"/>
    </row>
    <row r="6" spans="1:17" ht="28.5" customHeight="1">
      <c r="B6" s="155" t="str">
        <f>'FUR Combinator'!B6</f>
        <v>B01</v>
      </c>
      <c r="C6" s="156" t="str">
        <f>'FUR Combinator'!C6</f>
        <v>Collect New Recipes</v>
      </c>
      <c r="D6" s="157">
        <f>'FUR Combinator'!D6</f>
        <v>0.53527224156359554</v>
      </c>
      <c r="E6" s="158">
        <f ca="1">'FUR Combinator'!E6</f>
        <v>5</v>
      </c>
      <c r="F6" s="159">
        <f ca="1">'FUR Combinator'!F6</f>
        <v>5</v>
      </c>
      <c r="G6" s="401">
        <f ca="1">'FUR Combinator'!G6</f>
        <v>9</v>
      </c>
      <c r="H6" s="401">
        <f ca="1">'FUR Combinator'!H6</f>
        <v>4</v>
      </c>
      <c r="I6" s="401">
        <f ca="1">'FUR Combinator'!I6</f>
        <v>6</v>
      </c>
      <c r="J6" s="401">
        <f ca="1">'FUR Combinator'!J6</f>
        <v>4</v>
      </c>
      <c r="K6" s="401">
        <f ca="1">'FUR Combinator'!K6</f>
        <v>0</v>
      </c>
      <c r="L6" s="160">
        <f ca="1">'FUR Combinator'!L6</f>
        <v>6</v>
      </c>
      <c r="M6" s="161">
        <f ca="1">'FUR Combinator'!M6</f>
        <v>13.484714401646537</v>
      </c>
      <c r="N6" s="309">
        <f ca="1">'FUR Combinator'!N6</f>
        <v>0.56356135820307651</v>
      </c>
      <c r="O6" s="30"/>
      <c r="P6" s="29"/>
      <c r="Q6" s="28"/>
    </row>
    <row r="7" spans="1:17" ht="28.5" customHeight="1">
      <c r="B7" s="381" t="str">
        <f>'FUR Combinator'!B8</f>
        <v>C02</v>
      </c>
      <c r="C7" s="382" t="str">
        <f>'FUR Combinator'!C8</f>
        <v>Willing to Recommend</v>
      </c>
      <c r="D7" s="383">
        <f>'FUR Combinator'!D8</f>
        <v>0.36564097949418761</v>
      </c>
      <c r="E7" s="384">
        <f ca="1">'FUR Combinator'!E8</f>
        <v>0</v>
      </c>
      <c r="F7" s="385">
        <f ca="1">'FUR Combinator'!F8</f>
        <v>6</v>
      </c>
      <c r="G7" s="402">
        <f ca="1">'FUR Combinator'!G8</f>
        <v>5</v>
      </c>
      <c r="H7" s="402">
        <f ca="1">'FUR Combinator'!H8</f>
        <v>2</v>
      </c>
      <c r="I7" s="402">
        <f ca="1">'FUR Combinator'!I8</f>
        <v>0</v>
      </c>
      <c r="J7" s="402">
        <f ca="1">'FUR Combinator'!J8</f>
        <v>2</v>
      </c>
      <c r="K7" s="402">
        <f ca="1">'FUR Combinator'!K8</f>
        <v>5</v>
      </c>
      <c r="L7" s="386">
        <f ca="1">'FUR Combinator'!L8</f>
        <v>0</v>
      </c>
      <c r="M7" s="387">
        <f ca="1">'FUR Combinator'!M8</f>
        <v>7.9438430821268646</v>
      </c>
      <c r="N7" s="388">
        <f ca="1">'FUR Combinator'!N8</f>
        <v>0.33199390534877693</v>
      </c>
      <c r="O7" s="30"/>
      <c r="P7" s="29"/>
      <c r="Q7" s="28"/>
    </row>
    <row r="8" spans="1:17" ht="28.5" customHeight="1">
      <c r="B8" s="381" t="str">
        <f>'FUR Combinator'!B9</f>
        <v>D01</v>
      </c>
      <c r="C8" s="382" t="str">
        <f>'FUR Combinator'!C9</f>
        <v>Surprise Friends</v>
      </c>
      <c r="D8" s="383">
        <f>'FUR Combinator'!D9</f>
        <v>0.31625801046588459</v>
      </c>
      <c r="E8" s="384">
        <f ca="1">'FUR Combinator'!E9</f>
        <v>3</v>
      </c>
      <c r="F8" s="385">
        <f ca="1">'FUR Combinator'!F9</f>
        <v>0</v>
      </c>
      <c r="G8" s="402">
        <f ca="1">'FUR Combinator'!G9</f>
        <v>2</v>
      </c>
      <c r="H8" s="402">
        <f ca="1">'FUR Combinator'!H9</f>
        <v>0</v>
      </c>
      <c r="I8" s="402">
        <f ca="1">'FUR Combinator'!I9</f>
        <v>4</v>
      </c>
      <c r="J8" s="402">
        <f ca="1">'FUR Combinator'!J9</f>
        <v>3</v>
      </c>
      <c r="K8" s="402">
        <f ca="1">'FUR Combinator'!K9</f>
        <v>8</v>
      </c>
      <c r="L8" s="386">
        <f ca="1">'FUR Combinator'!L9</f>
        <v>0</v>
      </c>
      <c r="M8" s="387">
        <f ca="1">'FUR Combinator'!M9</f>
        <v>7.2216888982292069</v>
      </c>
      <c r="N8" s="388">
        <f ca="1">'FUR Combinator'!N9</f>
        <v>0.30181319995247241</v>
      </c>
      <c r="O8" s="30"/>
      <c r="P8" s="29"/>
      <c r="Q8" s="28"/>
    </row>
    <row r="9" spans="1:17" ht="28.5" customHeight="1">
      <c r="B9" s="381" t="str">
        <f>'FUR Combinator'!B5</f>
        <v>A03</v>
      </c>
      <c r="C9" s="382" t="str">
        <f>'FUR Combinator'!C5</f>
        <v>Customer Loyalty</v>
      </c>
      <c r="D9" s="383">
        <f>'FUR Combinator'!D5</f>
        <v>0.30937850082555501</v>
      </c>
      <c r="E9" s="384">
        <f ca="1">'FUR Combinator'!E5</f>
        <v>9</v>
      </c>
      <c r="F9" s="385">
        <f ca="1">'FUR Combinator'!F5</f>
        <v>3</v>
      </c>
      <c r="G9" s="402">
        <f ca="1">'FUR Combinator'!G5</f>
        <v>0</v>
      </c>
      <c r="H9" s="402">
        <f ca="1">'FUR Combinator'!H5</f>
        <v>4</v>
      </c>
      <c r="I9" s="402">
        <f ca="1">'FUR Combinator'!I5</f>
        <v>0</v>
      </c>
      <c r="J9" s="402">
        <f ca="1">'FUR Combinator'!J5</f>
        <v>0</v>
      </c>
      <c r="K9" s="402">
        <f ca="1">'FUR Combinator'!K5</f>
        <v>0</v>
      </c>
      <c r="L9" s="386">
        <f ca="1">'FUR Combinator'!L5</f>
        <v>5</v>
      </c>
      <c r="M9" s="387">
        <f ca="1">'FUR Combinator'!M5</f>
        <v>7.2661169905270473</v>
      </c>
      <c r="N9" s="388">
        <f ca="1">'FUR Combinator'!N5</f>
        <v>0.30366996571643146</v>
      </c>
      <c r="O9" s="30"/>
      <c r="P9" s="29"/>
      <c r="Q9" s="28"/>
    </row>
    <row r="10" spans="1:17" ht="28.5" customHeight="1" thickBot="1">
      <c r="B10" s="162" t="str">
        <f>'FUR Combinator'!B7</f>
        <v>B02</v>
      </c>
      <c r="C10" s="163" t="str">
        <f>'FUR Combinator'!C7</f>
        <v>Promote Specialities</v>
      </c>
      <c r="D10" s="164">
        <f>'FUR Combinator'!D7</f>
        <v>0.26763612078179777</v>
      </c>
      <c r="E10" s="165">
        <f ca="1">'FUR Combinator'!E7</f>
        <v>7</v>
      </c>
      <c r="F10" s="166">
        <f ca="1">'FUR Combinator'!F7</f>
        <v>3</v>
      </c>
      <c r="G10" s="403">
        <f ca="1">'FUR Combinator'!G7</f>
        <v>4</v>
      </c>
      <c r="H10" s="403">
        <f ca="1">'FUR Combinator'!H7</f>
        <v>0</v>
      </c>
      <c r="I10" s="403">
        <f ca="1">'FUR Combinator'!I7</f>
        <v>0</v>
      </c>
      <c r="J10" s="403">
        <f ca="1">'FUR Combinator'!J7</f>
        <v>2</v>
      </c>
      <c r="K10" s="403">
        <f ca="1">'FUR Combinator'!K7</f>
        <v>0</v>
      </c>
      <c r="L10" s="167">
        <f ca="1">'FUR Combinator'!L7</f>
        <v>2</v>
      </c>
      <c r="M10" s="168">
        <f ca="1">'FUR Combinator'!M7</f>
        <v>6.9901818514400302</v>
      </c>
      <c r="N10" s="310">
        <f ca="1">'FUR Combinator'!N7</f>
        <v>0.29213791712214709</v>
      </c>
      <c r="O10" s="27"/>
      <c r="P10" s="26"/>
      <c r="Q10" s="25"/>
    </row>
    <row r="11" spans="1:17" ht="16.5" hidden="1">
      <c r="A11" s="12"/>
      <c r="B11" s="12"/>
      <c r="C11" s="12"/>
      <c r="D11" s="227" t="str">
        <f>'FUR Combinator'!D11</f>
        <v>Raw Profile</v>
      </c>
      <c r="E11" s="251">
        <f ca="1">'FUR Combinator'!E11</f>
        <v>9.4008980269854252</v>
      </c>
      <c r="F11" s="252">
        <f ca="1">'FUR Combinator'!F11</f>
        <v>9.9549612542068004</v>
      </c>
      <c r="G11" s="406">
        <f ca="1">'FUR Combinator'!G11</f>
        <v>10.584522445336685</v>
      </c>
      <c r="H11" s="406">
        <f ca="1">'FUR Combinator'!H11</f>
        <v>6.9046435157130093</v>
      </c>
      <c r="I11" s="406">
        <f ca="1">'FUR Combinator'!I11</f>
        <v>5.5945689261123253</v>
      </c>
      <c r="J11" s="406">
        <f ca="1">'FUR Combinator'!J11</f>
        <v>7.710127502805646</v>
      </c>
      <c r="K11" s="406">
        <f ca="1">'FUR Combinator'!K11</f>
        <v>9.9477861555340787</v>
      </c>
      <c r="L11" s="253">
        <f ca="1">'FUR Combinator'!L11</f>
        <v>5.8527499125065505</v>
      </c>
      <c r="M11" s="238">
        <f ca="1">'FUR Combinator'!M11</f>
        <v>23.898593123332038</v>
      </c>
    </row>
    <row r="12" spans="1:17" ht="17.25" thickBot="1">
      <c r="A12" s="12"/>
      <c r="B12" s="12"/>
      <c r="C12" s="12"/>
      <c r="D12" s="227" t="str">
        <f>'FUR Combinator'!D12</f>
        <v>Solution Profile for User Stories</v>
      </c>
      <c r="E12" s="314">
        <f ca="1">'FUR Combinator'!E12</f>
        <v>0.40133890900532454</v>
      </c>
      <c r="F12" s="315">
        <f ca="1">'FUR Combinator'!F12</f>
        <v>0.41386353829043449</v>
      </c>
      <c r="G12" s="407">
        <f ca="1">'FUR Combinator'!G12</f>
        <v>0.44751241578560169</v>
      </c>
      <c r="H12" s="407">
        <f ca="1">'FUR Combinator'!H12</f>
        <v>0.2878498872884635</v>
      </c>
      <c r="I12" s="407">
        <f ca="1">'FUR Combinator'!I12</f>
        <v>0.23782029916396508</v>
      </c>
      <c r="J12" s="407">
        <f ca="1">'FUR Combinator'!J12</f>
        <v>0.32236927610373006</v>
      </c>
      <c r="K12" s="407">
        <f ca="1">'FUR Combinator'!K12</f>
        <v>0.40053228933437235</v>
      </c>
      <c r="L12" s="316">
        <f ca="1">'FUR Combinator'!L12</f>
        <v>0.25221532909079375</v>
      </c>
      <c r="M12" s="254"/>
      <c r="N12" s="255" t="str">
        <f>'FUR Combinator'!N12</f>
        <v>Convergence Gap</v>
      </c>
      <c r="O12" s="174"/>
      <c r="P12" s="174"/>
      <c r="Q12" s="174"/>
    </row>
    <row r="13" spans="1:17" ht="16.5">
      <c r="A13" s="12"/>
      <c r="B13" s="12"/>
      <c r="C13" s="12"/>
      <c r="D13" s="227"/>
      <c r="E13" s="182"/>
      <c r="F13" s="183"/>
      <c r="G13" s="183"/>
      <c r="H13" s="183"/>
      <c r="I13" s="183"/>
      <c r="J13" s="183"/>
      <c r="K13" s="183"/>
      <c r="L13" s="184"/>
      <c r="M13" s="254"/>
      <c r="N13" s="12"/>
      <c r="O13" s="12"/>
      <c r="P13" s="178">
        <f ca="1">'FUR Combinator'!ConvergenceFactor</f>
        <v>5.3275452192079326E-2</v>
      </c>
    </row>
    <row r="14" spans="1:17" ht="16.5">
      <c r="A14" s="12"/>
      <c r="B14" s="256">
        <f>'FUR Combinator'!ConvergenceRange</f>
        <v>0.1</v>
      </c>
      <c r="C14" s="239" t="str">
        <f>'FUR Combinator'!C14</f>
        <v xml:space="preserve">Convergence Range   </v>
      </c>
      <c r="D14" s="12"/>
      <c r="E14" s="30"/>
      <c r="F14" s="29"/>
      <c r="G14" s="29"/>
      <c r="H14" s="29"/>
      <c r="I14" s="29"/>
      <c r="J14" s="29"/>
      <c r="K14" s="29"/>
      <c r="L14" s="28"/>
      <c r="M14" s="12"/>
      <c r="N14" s="255"/>
      <c r="O14" s="174"/>
      <c r="P14" s="174"/>
      <c r="Q14" s="12"/>
    </row>
    <row r="15" spans="1:17" ht="16.5">
      <c r="A15" s="12"/>
      <c r="B15" s="256">
        <f>'FUR Combinator'!ConvergenceLimit</f>
        <v>0.2</v>
      </c>
      <c r="C15" s="239" t="str">
        <f>'FUR Combinator'!C15</f>
        <v>Convergence Limit</v>
      </c>
      <c r="D15" s="12"/>
      <c r="E15" s="30"/>
      <c r="F15" s="29"/>
      <c r="G15" s="29"/>
      <c r="H15" s="29"/>
      <c r="I15" s="29"/>
      <c r="J15" s="29"/>
      <c r="K15" s="29"/>
      <c r="L15" s="28"/>
      <c r="M15" s="12"/>
      <c r="N15" s="257"/>
      <c r="O15" s="12"/>
      <c r="P15" s="17"/>
      <c r="Q15" s="12"/>
    </row>
    <row r="16" spans="1:17" ht="16.5" thickBot="1">
      <c r="A16" s="12"/>
      <c r="B16" s="12"/>
      <c r="C16" s="12"/>
      <c r="D16" s="12"/>
      <c r="E16" s="27"/>
      <c r="F16" s="26"/>
      <c r="G16" s="26"/>
      <c r="H16" s="26"/>
      <c r="I16" s="26"/>
      <c r="J16" s="26"/>
      <c r="K16" s="26"/>
      <c r="L16" s="25"/>
      <c r="M16" s="12"/>
      <c r="N16" s="258"/>
      <c r="O16" s="12"/>
      <c r="P16" s="12"/>
      <c r="Q16" s="12"/>
    </row>
    <row r="17" spans="13:17" ht="4.5" customHeight="1">
      <c r="M17" s="12"/>
      <c r="N17" s="12"/>
      <c r="O17" s="12"/>
      <c r="P17" s="12"/>
      <c r="Q17" s="12"/>
    </row>
    <row r="18" spans="13:17" ht="5.25" customHeight="1"/>
  </sheetData>
  <sheetProtection sheet="1" objects="1" scenarios="1"/>
  <sortState ref="A5:XFD10">
    <sortCondition descending="1" ref="D9"/>
  </sortState>
  <mergeCells count="3">
    <mergeCell ref="B2:C2"/>
    <mergeCell ref="B3:C3"/>
    <mergeCell ref="B4:C4"/>
  </mergeCells>
  <conditionalFormatting sqref="N16">
    <cfRule type="expression" dxfId="7" priority="3" stopIfTrue="1">
      <formula>ISBLANK(N15)</formula>
    </cfRule>
  </conditionalFormatting>
  <conditionalFormatting sqref="N4 P13">
    <cfRule type="cellIs" dxfId="6" priority="4" stopIfTrue="1" operator="between">
      <formula>ConvergenceRange</formula>
      <formula>ConvergenceLimit</formula>
    </cfRule>
    <cfRule type="cellIs" dxfId="5" priority="5" stopIfTrue="1" operator="greaterThan">
      <formula>ConvergenceLimit</formula>
    </cfRule>
  </conditionalFormatting>
  <conditionalFormatting sqref="E5:L10">
    <cfRule type="cellIs" dxfId="4" priority="6" stopIfTrue="1" operator="greaterThan">
      <formula>6</formula>
    </cfRule>
    <cfRule type="cellIs" dxfId="3" priority="7" stopIfTrue="1" operator="greaterThan">
      <formula>2</formula>
    </cfRule>
    <cfRule type="cellIs" dxfId="2" priority="8" stopIfTrue="1" operator="greaterThan">
      <formula>0</formula>
    </cfRule>
  </conditionalFormatting>
  <conditionalFormatting sqref="P15">
    <cfRule type="expression" dxfId="1" priority="1" stopIfTrue="1">
      <formula>AND(1-ConfidenceInterval&gt;ConvergenceRange,1-ConfidenceInterval&lt;=ConvergenceLimit)</formula>
    </cfRule>
    <cfRule type="expression" dxfId="0" priority="2" stopIfTrue="1">
      <formula>1-ConfidenceInterval&gt;ConvergenceLimit</formula>
    </cfRule>
  </conditionalFormatting>
  <printOptions horizontalCentered="1" verticalCentered="1" gridLinesSet="0"/>
  <pageMargins left="0.55000000000000004" right="0.1" top="0.2" bottom="0.1" header="0.5" footer="0.5"/>
  <pageSetup paperSize="9" orientation="landscape" horizontalDpi="300" verticalDpi="300" r:id="rId1"/>
  <headerFooter alignWithMargins="0">
    <oddFooter>&amp;L&amp;"Arial,Regular"&amp;8&amp;D&amp;R&amp;"Arial,Regular"&amp;8&amp;F-&amp;A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urCombinatorBW"/>
  <dimension ref="A1:Q19"/>
  <sheetViews>
    <sheetView showGridLines="0" workbookViewId="0"/>
  </sheetViews>
  <sheetFormatPr defaultColWidth="9.33203125" defaultRowHeight="15.75"/>
  <cols>
    <col min="1" max="1" width="1" style="11" customWidth="1"/>
    <col min="2" max="2" width="6.1640625" style="11" bestFit="1" customWidth="1"/>
    <col min="3" max="3" width="24.1640625" style="11" bestFit="1" customWidth="1"/>
    <col min="4" max="12" width="6" style="11" customWidth="1"/>
    <col min="13" max="13" width="6" style="220" hidden="1" customWidth="1"/>
    <col min="14" max="16" width="6" style="11" customWidth="1"/>
    <col min="17" max="17" width="3.5" style="11" customWidth="1"/>
    <col min="18" max="18" width="1" style="11" customWidth="1"/>
    <col min="19" max="16384" width="9.33203125" style="11"/>
  </cols>
  <sheetData>
    <row r="1" spans="1:17" ht="4.5" customHeight="1">
      <c r="C1" s="218"/>
      <c r="E1" s="219"/>
      <c r="F1" s="219"/>
      <c r="G1" s="219"/>
      <c r="H1" s="219"/>
      <c r="I1" s="219"/>
      <c r="J1" s="219"/>
      <c r="K1" s="219"/>
    </row>
    <row r="2" spans="1:17" ht="18.75" thickBot="1">
      <c r="A2" s="12"/>
      <c r="B2" s="440" t="str">
        <f>'FUR Combinator'!B2</f>
        <v>Top Business Drivers</v>
      </c>
      <c r="C2" s="440">
        <f>'FUR Combinator'!C2</f>
        <v>0</v>
      </c>
      <c r="D2" s="54"/>
      <c r="E2" s="221" t="str">
        <f>'FUR Combinator'!E2</f>
        <v>User Stories</v>
      </c>
      <c r="F2" s="221"/>
      <c r="G2" s="221"/>
      <c r="H2" s="221"/>
      <c r="I2" s="221"/>
      <c r="J2" s="221"/>
      <c r="K2" s="221"/>
      <c r="L2" s="222"/>
      <c r="N2" s="54"/>
      <c r="O2" s="12"/>
      <c r="P2" s="12"/>
      <c r="Q2" s="12"/>
    </row>
    <row r="3" spans="1:17" ht="87.75">
      <c r="A3" s="12"/>
      <c r="B3" s="441" t="str">
        <f>'FUR Combinator'!B3</f>
        <v>Deployment Combinator</v>
      </c>
      <c r="C3" s="441">
        <f>'FUR Combinator'!C3</f>
        <v>0</v>
      </c>
      <c r="D3" s="51" t="str">
        <f>'FUR Combinator'!D3</f>
        <v>Goal Profile</v>
      </c>
      <c r="E3" s="53" t="str">
        <f ca="1">'FUR Combinator'!E3</f>
        <v>Collect Recipes</v>
      </c>
      <c r="F3" s="131" t="str">
        <f ca="1">'FUR Combinator'!F3</f>
        <v>Identify Food</v>
      </c>
      <c r="G3" s="408" t="str">
        <f ca="1">'FUR Combinator'!G3</f>
        <v>Search Recipes</v>
      </c>
      <c r="H3" s="408" t="str">
        <f ca="1">'FUR Combinator'!H3</f>
        <v>Manage Inventory</v>
      </c>
      <c r="I3" s="408" t="str">
        <f ca="1">'FUR Combinator'!I3</f>
        <v>Shopping List</v>
      </c>
      <c r="J3" s="408" t="str">
        <f ca="1">'FUR Combinator'!J3</f>
        <v>Cooking Process</v>
      </c>
      <c r="K3" s="408" t="str">
        <f ca="1">'FUR Combinator'!K3</f>
        <v>Process Control</v>
      </c>
      <c r="L3" s="52" t="str">
        <f ca="1">'FUR Combinator'!L3</f>
        <v>Remember</v>
      </c>
      <c r="M3" s="223"/>
      <c r="N3" s="51" t="str">
        <f>'FUR Combinator'!N3</f>
        <v>Achieved Profile</v>
      </c>
      <c r="O3" s="50"/>
      <c r="P3" s="34"/>
      <c r="Q3" s="34"/>
    </row>
    <row r="4" spans="1:17" ht="29.25" thickBot="1">
      <c r="A4" s="12"/>
      <c r="B4" s="442" t="str">
        <f>'FUR Combinator'!B4</f>
        <v>Top Business Drivers</v>
      </c>
      <c r="C4" s="442">
        <f>'FUR Combinator'!C4</f>
        <v>0</v>
      </c>
      <c r="D4" s="224"/>
      <c r="E4" s="49" t="str">
        <f ca="1">'FUR Combinator'!E4</f>
        <v>Q001</v>
      </c>
      <c r="F4" s="132" t="str">
        <f ca="1">'FUR Combinator'!F4</f>
        <v>Q002</v>
      </c>
      <c r="G4" s="409" t="str">
        <f ca="1">'FUR Combinator'!G4</f>
        <v>Q003</v>
      </c>
      <c r="H4" s="409" t="str">
        <f ca="1">'FUR Combinator'!H4</f>
        <v>Q004</v>
      </c>
      <c r="I4" s="409" t="str">
        <f ca="1">'FUR Combinator'!I4</f>
        <v>Q005</v>
      </c>
      <c r="J4" s="409" t="str">
        <f ca="1">'FUR Combinator'!J4</f>
        <v>Q006</v>
      </c>
      <c r="K4" s="409" t="str">
        <f ca="1">'FUR Combinator'!K4</f>
        <v>Q007</v>
      </c>
      <c r="L4" s="48" t="str">
        <f ca="1">'FUR Combinator'!L4</f>
        <v>Q008</v>
      </c>
      <c r="M4" s="240">
        <f ca="1">'FUR Combinator'!M4</f>
        <v>23.927677448721365</v>
      </c>
      <c r="N4" s="225"/>
      <c r="O4" s="35"/>
      <c r="P4" s="34"/>
      <c r="Q4" s="34"/>
    </row>
    <row r="5" spans="1:17" ht="28.5" customHeight="1">
      <c r="B5" s="185" t="str">
        <f>'FUR Combinator'!B5</f>
        <v>A03</v>
      </c>
      <c r="C5" s="186" t="str">
        <f>'FUR Combinator'!C5</f>
        <v>Customer Loyalty</v>
      </c>
      <c r="D5" s="187">
        <f>'FUR Combinator'!D5</f>
        <v>0.30937850082555501</v>
      </c>
      <c r="E5" s="209">
        <f ca="1">'FUR Combinator'!E5</f>
        <v>9</v>
      </c>
      <c r="F5" s="210">
        <f ca="1">'FUR Combinator'!F5</f>
        <v>3</v>
      </c>
      <c r="G5" s="410">
        <f ca="1">'FUR Combinator'!G5</f>
        <v>0</v>
      </c>
      <c r="H5" s="410">
        <f ca="1">'FUR Combinator'!H5</f>
        <v>4</v>
      </c>
      <c r="I5" s="410">
        <f ca="1">'FUR Combinator'!I5</f>
        <v>0</v>
      </c>
      <c r="J5" s="410">
        <f ca="1">'FUR Combinator'!J5</f>
        <v>0</v>
      </c>
      <c r="K5" s="410">
        <f ca="1">'FUR Combinator'!K5</f>
        <v>0</v>
      </c>
      <c r="L5" s="211">
        <f ca="1">'FUR Combinator'!L5</f>
        <v>5</v>
      </c>
      <c r="M5" s="188">
        <f ca="1">'FUR Combinator'!M5</f>
        <v>7.2661169905270473</v>
      </c>
      <c r="N5" s="189">
        <f ca="1">'FUR Combinator'!N5</f>
        <v>0.30366996571643146</v>
      </c>
      <c r="O5" s="33"/>
      <c r="P5" s="32"/>
      <c r="Q5" s="31"/>
    </row>
    <row r="6" spans="1:17" ht="28.5" customHeight="1">
      <c r="B6" s="47" t="str">
        <f>'FUR Combinator'!B6</f>
        <v>B01</v>
      </c>
      <c r="C6" s="190" t="str">
        <f>'FUR Combinator'!C6</f>
        <v>Collect New Recipes</v>
      </c>
      <c r="D6" s="191">
        <f>'FUR Combinator'!D6</f>
        <v>0.53527224156359554</v>
      </c>
      <c r="E6" s="212">
        <f ca="1">'FUR Combinator'!E6</f>
        <v>5</v>
      </c>
      <c r="F6" s="213">
        <f ca="1">'FUR Combinator'!F6</f>
        <v>5</v>
      </c>
      <c r="G6" s="411">
        <f ca="1">'FUR Combinator'!G6</f>
        <v>9</v>
      </c>
      <c r="H6" s="411">
        <f ca="1">'FUR Combinator'!H6</f>
        <v>4</v>
      </c>
      <c r="I6" s="411">
        <f ca="1">'FUR Combinator'!I6</f>
        <v>6</v>
      </c>
      <c r="J6" s="411">
        <f ca="1">'FUR Combinator'!J6</f>
        <v>4</v>
      </c>
      <c r="K6" s="411">
        <f ca="1">'FUR Combinator'!K6</f>
        <v>0</v>
      </c>
      <c r="L6" s="214">
        <f ca="1">'FUR Combinator'!L6</f>
        <v>6</v>
      </c>
      <c r="M6" s="192">
        <f ca="1">'FUR Combinator'!M6</f>
        <v>13.484714401646537</v>
      </c>
      <c r="N6" s="193">
        <f ca="1">'FUR Combinator'!N6</f>
        <v>0.56356135820307651</v>
      </c>
      <c r="O6" s="30"/>
      <c r="P6" s="29"/>
      <c r="Q6" s="28"/>
    </row>
    <row r="7" spans="1:17" ht="28.5" customHeight="1">
      <c r="B7" s="389" t="str">
        <f>'FUR Combinator'!B7</f>
        <v>B02</v>
      </c>
      <c r="C7" s="390" t="str">
        <f>'FUR Combinator'!C7</f>
        <v>Promote Specialities</v>
      </c>
      <c r="D7" s="391">
        <f>'FUR Combinator'!D7</f>
        <v>0.26763612078179777</v>
      </c>
      <c r="E7" s="392">
        <f ca="1">'FUR Combinator'!E7</f>
        <v>7</v>
      </c>
      <c r="F7" s="393">
        <f ca="1">'FUR Combinator'!F7</f>
        <v>3</v>
      </c>
      <c r="G7" s="412">
        <f ca="1">'FUR Combinator'!G7</f>
        <v>4</v>
      </c>
      <c r="H7" s="412">
        <f ca="1">'FUR Combinator'!H7</f>
        <v>0</v>
      </c>
      <c r="I7" s="412">
        <f ca="1">'FUR Combinator'!I7</f>
        <v>0</v>
      </c>
      <c r="J7" s="412">
        <f ca="1">'FUR Combinator'!J7</f>
        <v>2</v>
      </c>
      <c r="K7" s="412">
        <f ca="1">'FUR Combinator'!K7</f>
        <v>0</v>
      </c>
      <c r="L7" s="394">
        <f ca="1">'FUR Combinator'!L7</f>
        <v>2</v>
      </c>
      <c r="M7" s="395">
        <f ca="1">'FUR Combinator'!M7</f>
        <v>6.9901818514400302</v>
      </c>
      <c r="N7" s="396">
        <f ca="1">'FUR Combinator'!N7</f>
        <v>0.29213791712214709</v>
      </c>
      <c r="O7" s="30"/>
      <c r="P7" s="29"/>
      <c r="Q7" s="28"/>
    </row>
    <row r="8" spans="1:17" ht="28.5" customHeight="1">
      <c r="B8" s="389" t="str">
        <f>'FUR Combinator'!B8</f>
        <v>C02</v>
      </c>
      <c r="C8" s="390" t="str">
        <f>'FUR Combinator'!C8</f>
        <v>Willing to Recommend</v>
      </c>
      <c r="D8" s="391">
        <f>'FUR Combinator'!D8</f>
        <v>0.36564097949418761</v>
      </c>
      <c r="E8" s="392">
        <f ca="1">'FUR Combinator'!E8</f>
        <v>0</v>
      </c>
      <c r="F8" s="393">
        <f ca="1">'FUR Combinator'!F8</f>
        <v>6</v>
      </c>
      <c r="G8" s="412">
        <f ca="1">'FUR Combinator'!G8</f>
        <v>5</v>
      </c>
      <c r="H8" s="412">
        <f ca="1">'FUR Combinator'!H8</f>
        <v>2</v>
      </c>
      <c r="I8" s="412">
        <f ca="1">'FUR Combinator'!I8</f>
        <v>0</v>
      </c>
      <c r="J8" s="412">
        <f ca="1">'FUR Combinator'!J8</f>
        <v>2</v>
      </c>
      <c r="K8" s="412">
        <f ca="1">'FUR Combinator'!K8</f>
        <v>5</v>
      </c>
      <c r="L8" s="394">
        <f ca="1">'FUR Combinator'!L8</f>
        <v>0</v>
      </c>
      <c r="M8" s="395">
        <f ca="1">'FUR Combinator'!M8</f>
        <v>7.9438430821268646</v>
      </c>
      <c r="N8" s="396">
        <f ca="1">'FUR Combinator'!N8</f>
        <v>0.33199390534877693</v>
      </c>
      <c r="O8" s="30"/>
      <c r="P8" s="29"/>
      <c r="Q8" s="28"/>
    </row>
    <row r="9" spans="1:17" ht="28.5" customHeight="1">
      <c r="B9" s="389" t="str">
        <f>'FUR Combinator'!B9</f>
        <v>D01</v>
      </c>
      <c r="C9" s="390" t="str">
        <f>'FUR Combinator'!C9</f>
        <v>Surprise Friends</v>
      </c>
      <c r="D9" s="391">
        <f>'FUR Combinator'!D9</f>
        <v>0.31625801046588459</v>
      </c>
      <c r="E9" s="392">
        <f ca="1">'FUR Combinator'!E9</f>
        <v>3</v>
      </c>
      <c r="F9" s="393">
        <f ca="1">'FUR Combinator'!F9</f>
        <v>0</v>
      </c>
      <c r="G9" s="412">
        <f ca="1">'FUR Combinator'!G9</f>
        <v>2</v>
      </c>
      <c r="H9" s="412">
        <f ca="1">'FUR Combinator'!H9</f>
        <v>0</v>
      </c>
      <c r="I9" s="412">
        <f ca="1">'FUR Combinator'!I9</f>
        <v>4</v>
      </c>
      <c r="J9" s="412">
        <f ca="1">'FUR Combinator'!J9</f>
        <v>3</v>
      </c>
      <c r="K9" s="412">
        <f ca="1">'FUR Combinator'!K9</f>
        <v>8</v>
      </c>
      <c r="L9" s="394">
        <f ca="1">'FUR Combinator'!L9</f>
        <v>0</v>
      </c>
      <c r="M9" s="395">
        <f ca="1">'FUR Combinator'!M9</f>
        <v>7.2216888982292069</v>
      </c>
      <c r="N9" s="396">
        <f ca="1">'FUR Combinator'!N9</f>
        <v>0.30181319995247241</v>
      </c>
      <c r="O9" s="30"/>
      <c r="P9" s="29"/>
      <c r="Q9" s="28"/>
    </row>
    <row r="10" spans="1:17" ht="28.5" customHeight="1" thickBot="1">
      <c r="B10" s="46" t="str">
        <f>'FUR Combinator'!B10</f>
        <v>D04</v>
      </c>
      <c r="C10" s="194" t="str">
        <f>'FUR Combinator'!C10</f>
        <v>Get High Esteem</v>
      </c>
      <c r="D10" s="195">
        <f>'FUR Combinator'!D10</f>
        <v>0.5589517174336065</v>
      </c>
      <c r="E10" s="215">
        <f ca="1">'FUR Combinator'!E10</f>
        <v>2</v>
      </c>
      <c r="F10" s="216">
        <f ca="1">'FUR Combinator'!F10</f>
        <v>6</v>
      </c>
      <c r="G10" s="413">
        <f ca="1">'FUR Combinator'!G10</f>
        <v>4</v>
      </c>
      <c r="H10" s="413">
        <f ca="1">'FUR Combinator'!H10</f>
        <v>5</v>
      </c>
      <c r="I10" s="413">
        <f ca="1">'FUR Combinator'!I10</f>
        <v>2</v>
      </c>
      <c r="J10" s="413">
        <f ca="1">'FUR Combinator'!J10</f>
        <v>6</v>
      </c>
      <c r="K10" s="413">
        <f ca="1">'FUR Combinator'!K10</f>
        <v>10</v>
      </c>
      <c r="L10" s="217">
        <f ca="1">'FUR Combinator'!L10</f>
        <v>1</v>
      </c>
      <c r="M10" s="196">
        <f ca="1">'FUR Combinator'!M10</f>
        <v>13.182552624722808</v>
      </c>
      <c r="N10" s="197">
        <f ca="1">'FUR Combinator'!N10</f>
        <v>0.55093323006271344</v>
      </c>
      <c r="O10" s="27"/>
      <c r="P10" s="26"/>
      <c r="Q10" s="25"/>
    </row>
    <row r="11" spans="1:17" ht="15.75" hidden="1" customHeight="1">
      <c r="C11" s="12"/>
      <c r="D11" s="226"/>
      <c r="E11" s="241" t="e">
        <f>#REF!</f>
        <v>#REF!</v>
      </c>
      <c r="F11" s="242" t="e">
        <f>#REF!</f>
        <v>#REF!</v>
      </c>
      <c r="G11" s="414" t="e">
        <f>#REF!</f>
        <v>#REF!</v>
      </c>
      <c r="H11" s="414" t="e">
        <f>#REF!</f>
        <v>#REF!</v>
      </c>
      <c r="I11" s="414" t="e">
        <f>#REF!</f>
        <v>#REF!</v>
      </c>
      <c r="J11" s="414" t="e">
        <f>#REF!</f>
        <v>#REF!</v>
      </c>
      <c r="K11" s="414" t="e">
        <f>#REF!</f>
        <v>#REF!</v>
      </c>
      <c r="L11" s="243" t="e">
        <f>#REF!</f>
        <v>#REF!</v>
      </c>
      <c r="M11" s="244" t="e">
        <f>#REF!</f>
        <v>#REF!</v>
      </c>
      <c r="N11" s="45"/>
      <c r="O11" s="45"/>
      <c r="P11" s="12"/>
      <c r="Q11" s="12"/>
    </row>
    <row r="12" spans="1:17" ht="17.25" thickBot="1">
      <c r="B12" s="12"/>
      <c r="C12" s="12"/>
      <c r="D12" s="227" t="str">
        <f>'FUR Combinator'!D12</f>
        <v>Solution Profile for User Stories</v>
      </c>
      <c r="E12" s="245">
        <f ca="1">'FUR Combinator'!E12</f>
        <v>0.40133890900532454</v>
      </c>
      <c r="F12" s="246">
        <f ca="1">'FUR Combinator'!F12</f>
        <v>0.41386353829043449</v>
      </c>
      <c r="G12" s="415">
        <f ca="1">'FUR Combinator'!G12</f>
        <v>0.44751241578560169</v>
      </c>
      <c r="H12" s="415">
        <f ca="1">'FUR Combinator'!H12</f>
        <v>0.2878498872884635</v>
      </c>
      <c r="I12" s="415">
        <f ca="1">'FUR Combinator'!I12</f>
        <v>0.23782029916396508</v>
      </c>
      <c r="J12" s="415">
        <f ca="1">'FUR Combinator'!J12</f>
        <v>0.32236927610373006</v>
      </c>
      <c r="K12" s="415">
        <f ca="1">'FUR Combinator'!K12</f>
        <v>0.40053228933437235</v>
      </c>
      <c r="L12" s="197">
        <f ca="1">'FUR Combinator'!L12</f>
        <v>0.25221532909079375</v>
      </c>
      <c r="M12" s="228">
        <f>'FUR Combinator'!M12</f>
        <v>0</v>
      </c>
      <c r="N12" s="229" t="str">
        <f>'FUR Combinator'!N12</f>
        <v>Convergence Gap</v>
      </c>
      <c r="O12" s="12"/>
      <c r="P12" s="44"/>
      <c r="Q12" s="12"/>
    </row>
    <row r="13" spans="1:17">
      <c r="B13" s="12"/>
      <c r="C13" s="12"/>
      <c r="D13" s="12"/>
      <c r="E13" s="33"/>
      <c r="F13" s="32"/>
      <c r="G13" s="32"/>
      <c r="H13" s="32"/>
      <c r="I13" s="32"/>
      <c r="J13" s="32"/>
      <c r="K13" s="32"/>
      <c r="L13" s="31"/>
      <c r="M13" s="230"/>
      <c r="N13" s="231"/>
      <c r="O13" s="12"/>
      <c r="P13" s="43">
        <f ca="1">'FUR Combinator'!P13</f>
        <v>5.3275452192079326E-2</v>
      </c>
      <c r="Q13" s="42"/>
    </row>
    <row r="14" spans="1:17" ht="16.5">
      <c r="B14" s="232">
        <f>'FUR Combinator'!B14</f>
        <v>0.1</v>
      </c>
      <c r="C14" s="233" t="str">
        <f>'FUR Combinator'!C14</f>
        <v xml:space="preserve">Convergence Range   </v>
      </c>
      <c r="D14" s="12"/>
      <c r="E14" s="30"/>
      <c r="F14" s="29"/>
      <c r="G14" s="29"/>
      <c r="H14" s="29"/>
      <c r="I14" s="29"/>
      <c r="J14" s="29"/>
      <c r="K14" s="29"/>
      <c r="L14" s="28"/>
      <c r="M14" s="230"/>
      <c r="N14" s="229"/>
      <c r="O14" s="12"/>
      <c r="P14" s="40"/>
      <c r="Q14" s="12"/>
    </row>
    <row r="15" spans="1:17" ht="16.5">
      <c r="B15" s="232">
        <f>'FUR Combinator'!B15</f>
        <v>0.2</v>
      </c>
      <c r="C15" s="233" t="str">
        <f>'FUR Combinator'!C15</f>
        <v>Convergence Limit</v>
      </c>
      <c r="D15" s="12"/>
      <c r="E15" s="30"/>
      <c r="F15" s="29"/>
      <c r="G15" s="29"/>
      <c r="H15" s="29"/>
      <c r="I15" s="29"/>
      <c r="J15" s="29"/>
      <c r="K15" s="29"/>
      <c r="L15" s="28"/>
      <c r="M15" s="230"/>
      <c r="N15" s="231"/>
      <c r="O15" s="12"/>
      <c r="P15" s="41"/>
      <c r="Q15" s="12"/>
    </row>
    <row r="16" spans="1:17" ht="16.5" thickBot="1">
      <c r="B16" s="234"/>
      <c r="C16" s="235"/>
      <c r="D16" s="12"/>
      <c r="E16" s="27"/>
      <c r="F16" s="26"/>
      <c r="G16" s="26"/>
      <c r="H16" s="26"/>
      <c r="I16" s="26"/>
      <c r="J16" s="26"/>
      <c r="K16" s="26"/>
      <c r="L16" s="25"/>
      <c r="M16" s="230"/>
      <c r="N16" s="236"/>
      <c r="O16" s="12"/>
      <c r="P16" s="40"/>
      <c r="Q16" s="12"/>
    </row>
    <row r="17" spans="3:17" ht="4.5" customHeight="1">
      <c r="C17" s="12"/>
      <c r="N17" s="237"/>
      <c r="O17" s="12"/>
      <c r="P17" s="12"/>
      <c r="Q17" s="12"/>
    </row>
    <row r="18" spans="3:17">
      <c r="P18" s="12"/>
      <c r="Q18" s="12"/>
    </row>
    <row r="19" spans="3:17">
      <c r="Q19" s="12"/>
    </row>
  </sheetData>
  <sheetProtection sheet="1" objects="1" scenarios="1"/>
  <mergeCells count="3">
    <mergeCell ref="B2:C2"/>
    <mergeCell ref="B3:C3"/>
    <mergeCell ref="B4:C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Movements"/>
  <dimension ref="B1:O89"/>
  <sheetViews>
    <sheetView showGridLines="0" zoomScaleNormal="100" workbookViewId="0"/>
  </sheetViews>
  <sheetFormatPr defaultColWidth="9.33203125" defaultRowHeight="12.75"/>
  <cols>
    <col min="1" max="1" width="0.83203125" style="64" customWidth="1"/>
    <col min="2" max="2" width="3.83203125" style="64" bestFit="1" customWidth="1"/>
    <col min="3" max="3" width="8" style="65" bestFit="1" customWidth="1"/>
    <col min="4" max="4" width="22.1640625" style="66" bestFit="1" customWidth="1"/>
    <col min="5" max="5" width="93.33203125" style="64" bestFit="1" customWidth="1"/>
    <col min="6" max="6" width="5" style="64" bestFit="1" customWidth="1"/>
    <col min="7" max="7" width="6" style="64" customWidth="1"/>
    <col min="8" max="8" width="6.1640625" style="64" bestFit="1" customWidth="1"/>
    <col min="9" max="11" width="4.5" bestFit="1" customWidth="1"/>
    <col min="12" max="12" width="3.83203125" bestFit="1" customWidth="1"/>
    <col min="13" max="14" width="1" style="64" customWidth="1"/>
    <col min="15" max="15" width="9.33203125" style="64" hidden="1" customWidth="1"/>
    <col min="16" max="16384" width="9.33203125" style="64"/>
  </cols>
  <sheetData>
    <row r="1" spans="2:15" ht="3.75" customHeight="1" thickBot="1"/>
    <row r="2" spans="2:15" ht="4.5" customHeight="1">
      <c r="B2" s="67"/>
      <c r="C2" s="68"/>
      <c r="D2" s="69"/>
      <c r="E2" s="70"/>
      <c r="F2" s="70"/>
      <c r="G2" s="70"/>
      <c r="H2" s="70"/>
      <c r="I2" s="88"/>
      <c r="J2" s="88"/>
      <c r="K2" s="88"/>
      <c r="L2" s="88"/>
      <c r="M2" s="71"/>
    </row>
    <row r="3" spans="2:15" ht="20.25">
      <c r="B3" s="72"/>
      <c r="C3" s="446" t="s">
        <v>240</v>
      </c>
      <c r="D3" s="445"/>
      <c r="E3" s="445"/>
      <c r="F3" s="73"/>
      <c r="G3" s="73"/>
      <c r="H3" s="73"/>
      <c r="I3" s="444" t="s">
        <v>250</v>
      </c>
      <c r="J3" s="445"/>
      <c r="K3" s="445"/>
      <c r="L3" s="445"/>
      <c r="M3" s="74"/>
    </row>
    <row r="4" spans="2:15" ht="43.5" customHeight="1">
      <c r="B4" s="72"/>
      <c r="C4" s="75" t="s">
        <v>241</v>
      </c>
      <c r="D4" s="76" t="s">
        <v>242</v>
      </c>
      <c r="E4" s="75" t="s">
        <v>243</v>
      </c>
      <c r="F4" s="259" t="s">
        <v>294</v>
      </c>
      <c r="G4" s="259" t="s">
        <v>296</v>
      </c>
      <c r="H4" s="259" t="s">
        <v>295</v>
      </c>
      <c r="I4" s="89" t="s">
        <v>251</v>
      </c>
      <c r="J4" s="89" t="s">
        <v>252</v>
      </c>
      <c r="K4" s="89" t="s">
        <v>253</v>
      </c>
      <c r="L4" s="89" t="s">
        <v>254</v>
      </c>
      <c r="M4" s="74"/>
    </row>
    <row r="5" spans="2:15" ht="12.75" hidden="1" customHeight="1">
      <c r="B5" s="77">
        <f>ROW(B5)-TableRowShift()</f>
        <v>0</v>
      </c>
      <c r="C5" s="78"/>
      <c r="D5" s="98"/>
      <c r="E5" s="99"/>
      <c r="F5" s="260">
        <v>0</v>
      </c>
      <c r="G5" s="260"/>
      <c r="H5" s="260"/>
      <c r="I5" s="90">
        <v>0</v>
      </c>
      <c r="J5" s="90">
        <v>0</v>
      </c>
      <c r="K5" s="90">
        <v>0</v>
      </c>
      <c r="L5" s="268">
        <v>0</v>
      </c>
      <c r="M5" s="79"/>
      <c r="O5" s="64" t="s">
        <v>244</v>
      </c>
    </row>
    <row r="6" spans="2:15" ht="12.75" customHeight="1">
      <c r="B6" s="77">
        <f>ROW(B6)-TableRowShift()</f>
        <v>1</v>
      </c>
      <c r="C6" s="80" t="s">
        <v>244</v>
      </c>
      <c r="D6" s="100" t="s">
        <v>596</v>
      </c>
      <c r="E6" s="101" t="s">
        <v>647</v>
      </c>
      <c r="F6" s="261" t="s">
        <v>297</v>
      </c>
      <c r="G6" s="261" t="s">
        <v>298</v>
      </c>
      <c r="H6" s="261" t="s">
        <v>299</v>
      </c>
      <c r="I6" s="91">
        <v>1</v>
      </c>
      <c r="J6" s="91">
        <v>0</v>
      </c>
      <c r="K6" s="91">
        <v>0</v>
      </c>
      <c r="L6" s="269">
        <v>0</v>
      </c>
      <c r="M6" s="79"/>
      <c r="O6" s="64" t="s">
        <v>542</v>
      </c>
    </row>
    <row r="7" spans="2:15">
      <c r="B7" s="77">
        <f>ROW(B7)-TableRowShift()</f>
        <v>2</v>
      </c>
      <c r="C7" s="80" t="s">
        <v>246</v>
      </c>
      <c r="D7" s="100" t="s">
        <v>597</v>
      </c>
      <c r="E7" s="101" t="s">
        <v>648</v>
      </c>
      <c r="F7" s="261">
        <v>0</v>
      </c>
      <c r="G7" s="261" t="s">
        <v>298</v>
      </c>
      <c r="H7" s="261" t="s">
        <v>300</v>
      </c>
      <c r="I7" s="91">
        <v>0</v>
      </c>
      <c r="J7" s="91">
        <v>0</v>
      </c>
      <c r="K7" s="91">
        <v>0</v>
      </c>
      <c r="L7" s="269">
        <v>1</v>
      </c>
      <c r="M7" s="79"/>
      <c r="O7" s="64" t="s">
        <v>543</v>
      </c>
    </row>
    <row r="8" spans="2:15">
      <c r="B8" s="77">
        <f>ROW(B8)-TableRowShift()</f>
        <v>3</v>
      </c>
      <c r="C8" s="80" t="s">
        <v>248</v>
      </c>
      <c r="D8" s="100" t="s">
        <v>598</v>
      </c>
      <c r="E8" s="101" t="s">
        <v>649</v>
      </c>
      <c r="F8" s="261">
        <v>0</v>
      </c>
      <c r="G8" s="261" t="s">
        <v>298</v>
      </c>
      <c r="H8" s="261" t="s">
        <v>300</v>
      </c>
      <c r="I8" s="91">
        <v>0</v>
      </c>
      <c r="J8" s="91">
        <v>0</v>
      </c>
      <c r="K8" s="91">
        <v>1</v>
      </c>
      <c r="L8" s="269">
        <v>0</v>
      </c>
      <c r="M8" s="79"/>
      <c r="O8" s="64" t="s">
        <v>544</v>
      </c>
    </row>
    <row r="9" spans="2:15">
      <c r="B9" s="77">
        <f>ROW(B9)-TableRowShift()</f>
        <v>4</v>
      </c>
      <c r="C9" s="80" t="s">
        <v>542</v>
      </c>
      <c r="D9" s="100" t="s">
        <v>599</v>
      </c>
      <c r="E9" s="101" t="s">
        <v>650</v>
      </c>
      <c r="F9" s="261">
        <v>0</v>
      </c>
      <c r="G9" s="261" t="s">
        <v>298</v>
      </c>
      <c r="H9" s="261" t="s">
        <v>299</v>
      </c>
      <c r="I9" s="91">
        <v>1</v>
      </c>
      <c r="J9" s="91">
        <v>0</v>
      </c>
      <c r="K9" s="91">
        <v>0</v>
      </c>
      <c r="L9" s="269">
        <v>0</v>
      </c>
      <c r="M9" s="79"/>
      <c r="O9" s="64" t="s">
        <v>546</v>
      </c>
    </row>
    <row r="10" spans="2:15">
      <c r="B10" s="77">
        <f>ROW(B10)-TableRowShift()</f>
        <v>5</v>
      </c>
      <c r="C10" s="80" t="s">
        <v>543</v>
      </c>
      <c r="D10" s="100" t="s">
        <v>600</v>
      </c>
      <c r="E10" s="101" t="s">
        <v>651</v>
      </c>
      <c r="F10" s="261">
        <v>0</v>
      </c>
      <c r="G10" s="261" t="s">
        <v>298</v>
      </c>
      <c r="H10" s="261" t="s">
        <v>299</v>
      </c>
      <c r="I10" s="91">
        <v>1</v>
      </c>
      <c r="J10" s="91">
        <v>0</v>
      </c>
      <c r="K10" s="91">
        <v>0</v>
      </c>
      <c r="L10" s="269">
        <v>0</v>
      </c>
      <c r="M10" s="79"/>
      <c r="O10" s="64" t="s">
        <v>548</v>
      </c>
    </row>
    <row r="11" spans="2:15">
      <c r="B11" s="77">
        <f>ROW(B11)-TableRowShift()</f>
        <v>6</v>
      </c>
      <c r="C11" s="80" t="s">
        <v>249</v>
      </c>
      <c r="D11" s="100" t="s">
        <v>601</v>
      </c>
      <c r="E11" s="101" t="s">
        <v>652</v>
      </c>
      <c r="F11" s="261">
        <v>0</v>
      </c>
      <c r="G11" s="261" t="s">
        <v>298</v>
      </c>
      <c r="H11" s="261" t="s">
        <v>299</v>
      </c>
      <c r="I11" s="91">
        <v>0</v>
      </c>
      <c r="J11" s="91">
        <v>1</v>
      </c>
      <c r="K11" s="91">
        <v>0</v>
      </c>
      <c r="L11" s="269">
        <v>0</v>
      </c>
      <c r="M11" s="79"/>
      <c r="O11" s="64" t="s">
        <v>551</v>
      </c>
    </row>
    <row r="12" spans="2:15">
      <c r="B12" s="77">
        <f>ROW(B12)-TableRowShift()</f>
        <v>7</v>
      </c>
      <c r="C12" s="80" t="s">
        <v>245</v>
      </c>
      <c r="D12" s="100" t="s">
        <v>602</v>
      </c>
      <c r="E12" s="101" t="s">
        <v>653</v>
      </c>
      <c r="F12" s="261">
        <v>0</v>
      </c>
      <c r="G12" s="261" t="s">
        <v>298</v>
      </c>
      <c r="H12" s="261" t="s">
        <v>299</v>
      </c>
      <c r="I12" s="91">
        <v>0</v>
      </c>
      <c r="J12" s="91">
        <v>1</v>
      </c>
      <c r="K12" s="91">
        <v>0</v>
      </c>
      <c r="L12" s="269">
        <v>0</v>
      </c>
      <c r="M12" s="79"/>
      <c r="O12" s="64" t="s">
        <v>554</v>
      </c>
    </row>
    <row r="13" spans="2:15">
      <c r="B13" s="77">
        <f>ROW(B13)-TableRowShift()</f>
        <v>8</v>
      </c>
      <c r="C13" s="80" t="s">
        <v>544</v>
      </c>
      <c r="D13" s="100" t="s">
        <v>603</v>
      </c>
      <c r="E13" s="101" t="s">
        <v>654</v>
      </c>
      <c r="F13" s="261" t="s">
        <v>688</v>
      </c>
      <c r="G13" s="261" t="s">
        <v>298</v>
      </c>
      <c r="H13" s="261" t="s">
        <v>299</v>
      </c>
      <c r="I13" s="91">
        <v>1</v>
      </c>
      <c r="J13" s="91">
        <v>0</v>
      </c>
      <c r="K13" s="91">
        <v>0</v>
      </c>
      <c r="L13" s="269">
        <v>0</v>
      </c>
      <c r="M13" s="79"/>
      <c r="O13" s="64" t="s">
        <v>557</v>
      </c>
    </row>
    <row r="14" spans="2:15">
      <c r="B14" s="77">
        <f>ROW(B14)-TableRowShift()</f>
        <v>9</v>
      </c>
      <c r="C14" s="80" t="s">
        <v>545</v>
      </c>
      <c r="D14" s="100" t="s">
        <v>603</v>
      </c>
      <c r="E14" s="101" t="s">
        <v>655</v>
      </c>
      <c r="F14" s="261">
        <v>0</v>
      </c>
      <c r="G14" s="261" t="s">
        <v>298</v>
      </c>
      <c r="H14" s="261" t="s">
        <v>698</v>
      </c>
      <c r="I14" s="91">
        <v>0</v>
      </c>
      <c r="J14" s="91">
        <v>1</v>
      </c>
      <c r="K14" s="91">
        <v>0</v>
      </c>
      <c r="L14" s="269">
        <v>0</v>
      </c>
      <c r="M14" s="79"/>
      <c r="O14" s="64" t="s">
        <v>561</v>
      </c>
    </row>
    <row r="15" spans="2:15">
      <c r="B15" s="77">
        <f>ROW(B15)-TableRowShift()</f>
        <v>10</v>
      </c>
      <c r="C15" s="80" t="s">
        <v>546</v>
      </c>
      <c r="D15" s="100" t="s">
        <v>604</v>
      </c>
      <c r="E15" s="101" t="s">
        <v>656</v>
      </c>
      <c r="F15" s="261">
        <v>0</v>
      </c>
      <c r="G15" s="261" t="s">
        <v>298</v>
      </c>
      <c r="H15" s="261" t="s">
        <v>698</v>
      </c>
      <c r="I15" s="91">
        <v>1</v>
      </c>
      <c r="J15" s="91">
        <v>0</v>
      </c>
      <c r="K15" s="91">
        <v>0</v>
      </c>
      <c r="L15" s="269">
        <v>0</v>
      </c>
      <c r="M15" s="79"/>
      <c r="O15" s="64" t="s">
        <v>565</v>
      </c>
    </row>
    <row r="16" spans="2:15">
      <c r="B16" s="77">
        <f>ROW(B16)-TableRowShift()</f>
        <v>11</v>
      </c>
      <c r="C16" s="80" t="s">
        <v>547</v>
      </c>
      <c r="D16" s="100" t="s">
        <v>605</v>
      </c>
      <c r="E16" s="101" t="s">
        <v>794</v>
      </c>
      <c r="F16" s="261">
        <v>0</v>
      </c>
      <c r="G16" s="261" t="s">
        <v>298</v>
      </c>
      <c r="H16" s="261" t="s">
        <v>299</v>
      </c>
      <c r="I16" s="91">
        <v>0</v>
      </c>
      <c r="J16" s="91">
        <v>1</v>
      </c>
      <c r="K16" s="91">
        <v>0</v>
      </c>
      <c r="L16" s="269">
        <v>0</v>
      </c>
      <c r="M16" s="79"/>
      <c r="O16" s="64" t="s">
        <v>566</v>
      </c>
    </row>
    <row r="17" spans="2:15">
      <c r="B17" s="77">
        <f>ROW(B17)-TableRowShift()</f>
        <v>12</v>
      </c>
      <c r="C17" s="80" t="s">
        <v>548</v>
      </c>
      <c r="D17" s="100" t="s">
        <v>606</v>
      </c>
      <c r="E17" s="101" t="s">
        <v>657</v>
      </c>
      <c r="F17" s="261">
        <v>0</v>
      </c>
      <c r="G17" s="261" t="s">
        <v>298</v>
      </c>
      <c r="H17" s="261" t="s">
        <v>299</v>
      </c>
      <c r="I17" s="91">
        <v>1</v>
      </c>
      <c r="J17" s="91">
        <v>0</v>
      </c>
      <c r="K17" s="91">
        <v>0</v>
      </c>
      <c r="L17" s="269">
        <v>0</v>
      </c>
      <c r="M17" s="79"/>
      <c r="O17" s="64" t="s">
        <v>572</v>
      </c>
    </row>
    <row r="18" spans="2:15">
      <c r="B18" s="77">
        <f>ROW(B18)-TableRowShift()</f>
        <v>13</v>
      </c>
      <c r="C18" s="80" t="s">
        <v>549</v>
      </c>
      <c r="D18" s="100" t="s">
        <v>607</v>
      </c>
      <c r="E18" s="101" t="s">
        <v>658</v>
      </c>
      <c r="F18" s="261">
        <v>0</v>
      </c>
      <c r="G18" s="261" t="s">
        <v>298</v>
      </c>
      <c r="H18" s="261" t="s">
        <v>300</v>
      </c>
      <c r="I18" s="91">
        <v>0</v>
      </c>
      <c r="J18" s="91">
        <v>0</v>
      </c>
      <c r="K18" s="91">
        <v>0</v>
      </c>
      <c r="L18" s="269">
        <v>1</v>
      </c>
      <c r="M18" s="79"/>
      <c r="O18" s="64" t="s">
        <v>574</v>
      </c>
    </row>
    <row r="19" spans="2:15">
      <c r="B19" s="77">
        <f>ROW(B19)-TableRowShift()</f>
        <v>14</v>
      </c>
      <c r="C19" s="80" t="s">
        <v>247</v>
      </c>
      <c r="D19" s="100" t="s">
        <v>608</v>
      </c>
      <c r="E19" s="101" t="s">
        <v>795</v>
      </c>
      <c r="F19" s="261">
        <v>0</v>
      </c>
      <c r="G19" s="261" t="s">
        <v>298</v>
      </c>
      <c r="H19" s="261" t="s">
        <v>300</v>
      </c>
      <c r="I19" s="91">
        <v>0</v>
      </c>
      <c r="J19" s="91">
        <v>0</v>
      </c>
      <c r="K19" s="91">
        <v>1</v>
      </c>
      <c r="L19" s="269">
        <v>0</v>
      </c>
      <c r="M19" s="79"/>
      <c r="O19" s="64" t="s">
        <v>579</v>
      </c>
    </row>
    <row r="20" spans="2:15">
      <c r="B20" s="77">
        <f>ROW(B20)-TableRowShift()</f>
        <v>15</v>
      </c>
      <c r="C20" s="80" t="s">
        <v>550</v>
      </c>
      <c r="D20" s="100" t="s">
        <v>609</v>
      </c>
      <c r="E20" s="101" t="s">
        <v>796</v>
      </c>
      <c r="F20" s="261">
        <v>0</v>
      </c>
      <c r="G20" s="261" t="s">
        <v>298</v>
      </c>
      <c r="H20" s="261" t="s">
        <v>299</v>
      </c>
      <c r="I20" s="91">
        <v>0</v>
      </c>
      <c r="J20" s="91">
        <v>1</v>
      </c>
      <c r="K20" s="91">
        <v>0</v>
      </c>
      <c r="L20" s="269">
        <v>0</v>
      </c>
      <c r="M20" s="79"/>
      <c r="O20" s="64" t="s">
        <v>582</v>
      </c>
    </row>
    <row r="21" spans="2:15">
      <c r="B21" s="77">
        <f>ROW(B21)-TableRowShift()</f>
        <v>16</v>
      </c>
      <c r="C21" s="80" t="s">
        <v>551</v>
      </c>
      <c r="D21" s="100" t="s">
        <v>610</v>
      </c>
      <c r="E21" s="101" t="s">
        <v>659</v>
      </c>
      <c r="F21" s="261" t="s">
        <v>689</v>
      </c>
      <c r="G21" s="261" t="s">
        <v>695</v>
      </c>
      <c r="H21" s="261" t="s">
        <v>299</v>
      </c>
      <c r="I21" s="91">
        <v>1</v>
      </c>
      <c r="J21" s="91">
        <v>0</v>
      </c>
      <c r="K21" s="91">
        <v>0</v>
      </c>
      <c r="L21" s="269">
        <v>0</v>
      </c>
      <c r="M21" s="79"/>
      <c r="O21" s="64" t="s">
        <v>584</v>
      </c>
    </row>
    <row r="22" spans="2:15">
      <c r="B22" s="77">
        <f>ROW(B22)-TableRowShift()</f>
        <v>17</v>
      </c>
      <c r="C22" s="80" t="s">
        <v>552</v>
      </c>
      <c r="D22" s="100" t="s">
        <v>611</v>
      </c>
      <c r="E22" s="101" t="s">
        <v>797</v>
      </c>
      <c r="F22" s="261">
        <v>0</v>
      </c>
      <c r="G22" s="261" t="s">
        <v>695</v>
      </c>
      <c r="H22" s="261" t="s">
        <v>699</v>
      </c>
      <c r="I22" s="91">
        <v>0</v>
      </c>
      <c r="J22" s="91">
        <v>0</v>
      </c>
      <c r="K22" s="91">
        <v>0</v>
      </c>
      <c r="L22" s="269">
        <v>1</v>
      </c>
      <c r="M22" s="79"/>
      <c r="O22" s="64" t="s">
        <v>586</v>
      </c>
    </row>
    <row r="23" spans="2:15">
      <c r="B23" s="77">
        <f>ROW(B23)-TableRowShift()</f>
        <v>18</v>
      </c>
      <c r="C23" s="80" t="s">
        <v>553</v>
      </c>
      <c r="D23" s="100" t="s">
        <v>612</v>
      </c>
      <c r="E23" s="101" t="s">
        <v>660</v>
      </c>
      <c r="F23" s="261">
        <v>0</v>
      </c>
      <c r="G23" s="261" t="s">
        <v>695</v>
      </c>
      <c r="H23" s="261" t="s">
        <v>699</v>
      </c>
      <c r="I23" s="91">
        <v>0</v>
      </c>
      <c r="J23" s="91">
        <v>0</v>
      </c>
      <c r="K23" s="91">
        <v>1</v>
      </c>
      <c r="L23" s="269">
        <v>0</v>
      </c>
      <c r="M23" s="79"/>
      <c r="O23" s="64" t="s">
        <v>588</v>
      </c>
    </row>
    <row r="24" spans="2:15">
      <c r="B24" s="77">
        <f>ROW(B24)-TableRowShift()</f>
        <v>19</v>
      </c>
      <c r="C24" s="80" t="s">
        <v>554</v>
      </c>
      <c r="D24" s="100" t="s">
        <v>512</v>
      </c>
      <c r="E24" s="101" t="s">
        <v>661</v>
      </c>
      <c r="F24" s="261">
        <v>0</v>
      </c>
      <c r="G24" s="261" t="s">
        <v>695</v>
      </c>
      <c r="H24" s="261" t="s">
        <v>698</v>
      </c>
      <c r="I24" s="91">
        <v>1</v>
      </c>
      <c r="J24" s="91">
        <v>0</v>
      </c>
      <c r="K24" s="91">
        <v>0</v>
      </c>
      <c r="L24" s="269">
        <v>0</v>
      </c>
      <c r="M24" s="79"/>
      <c r="O24" s="64" t="s">
        <v>590</v>
      </c>
    </row>
    <row r="25" spans="2:15">
      <c r="B25" s="77">
        <f>ROW(B25)-TableRowShift()</f>
        <v>20</v>
      </c>
      <c r="C25" s="80" t="s">
        <v>555</v>
      </c>
      <c r="D25" s="100" t="s">
        <v>613</v>
      </c>
      <c r="E25" s="101" t="s">
        <v>662</v>
      </c>
      <c r="F25" s="261">
        <v>0</v>
      </c>
      <c r="G25" s="261" t="s">
        <v>695</v>
      </c>
      <c r="H25" s="261" t="s">
        <v>699</v>
      </c>
      <c r="I25" s="91">
        <v>0</v>
      </c>
      <c r="J25" s="91">
        <v>0</v>
      </c>
      <c r="K25" s="91">
        <v>0</v>
      </c>
      <c r="L25" s="269">
        <v>1</v>
      </c>
      <c r="M25" s="79"/>
      <c r="O25" s="64" t="s">
        <v>593</v>
      </c>
    </row>
    <row r="26" spans="2:15">
      <c r="B26" s="77">
        <f>ROW(B26)-TableRowShift()</f>
        <v>21</v>
      </c>
      <c r="C26" s="80" t="s">
        <v>556</v>
      </c>
      <c r="D26" s="100" t="s">
        <v>614</v>
      </c>
      <c r="E26" s="101" t="s">
        <v>663</v>
      </c>
      <c r="F26" s="261">
        <v>0</v>
      </c>
      <c r="G26" s="261" t="s">
        <v>695</v>
      </c>
      <c r="H26" s="261" t="s">
        <v>299</v>
      </c>
      <c r="I26" s="91">
        <v>0</v>
      </c>
      <c r="J26" s="91">
        <v>1</v>
      </c>
      <c r="K26" s="91">
        <v>0</v>
      </c>
      <c r="L26" s="269">
        <v>0</v>
      </c>
      <c r="M26" s="79"/>
      <c r="O26" s="64" t="s">
        <v>248</v>
      </c>
    </row>
    <row r="27" spans="2:15">
      <c r="B27" s="77">
        <f>ROW(B27)-TableRowShift()</f>
        <v>22</v>
      </c>
      <c r="C27" s="80" t="s">
        <v>557</v>
      </c>
      <c r="D27" s="100" t="s">
        <v>615</v>
      </c>
      <c r="E27" s="101" t="s">
        <v>664</v>
      </c>
      <c r="F27" s="261" t="s">
        <v>690</v>
      </c>
      <c r="G27" s="261" t="s">
        <v>695</v>
      </c>
      <c r="H27" s="261" t="s">
        <v>299</v>
      </c>
      <c r="I27" s="91">
        <v>1</v>
      </c>
      <c r="J27" s="91">
        <v>0</v>
      </c>
      <c r="K27" s="91">
        <v>0</v>
      </c>
      <c r="L27" s="269">
        <v>0</v>
      </c>
      <c r="M27" s="79"/>
      <c r="O27" s="64" t="s">
        <v>247</v>
      </c>
    </row>
    <row r="28" spans="2:15">
      <c r="B28" s="77">
        <f>ROW(B28)-TableRowShift()</f>
        <v>23</v>
      </c>
      <c r="C28" s="80" t="s">
        <v>558</v>
      </c>
      <c r="D28" s="100" t="s">
        <v>616</v>
      </c>
      <c r="E28" s="101" t="s">
        <v>665</v>
      </c>
      <c r="F28" s="261">
        <v>0</v>
      </c>
      <c r="G28" s="261" t="s">
        <v>695</v>
      </c>
      <c r="H28" s="261" t="s">
        <v>699</v>
      </c>
      <c r="I28" s="91">
        <v>0</v>
      </c>
      <c r="J28" s="91">
        <v>0</v>
      </c>
      <c r="K28" s="91">
        <v>0</v>
      </c>
      <c r="L28" s="269">
        <v>1</v>
      </c>
      <c r="M28" s="79"/>
      <c r="O28" s="64" t="s">
        <v>553</v>
      </c>
    </row>
    <row r="29" spans="2:15">
      <c r="B29" s="77">
        <f>ROW(B29)-TableRowShift()</f>
        <v>24</v>
      </c>
      <c r="C29" s="80" t="s">
        <v>559</v>
      </c>
      <c r="D29" s="100" t="s">
        <v>617</v>
      </c>
      <c r="E29" s="101" t="s">
        <v>666</v>
      </c>
      <c r="F29" s="261">
        <v>0</v>
      </c>
      <c r="G29" s="261" t="s">
        <v>695</v>
      </c>
      <c r="H29" s="261" t="s">
        <v>699</v>
      </c>
      <c r="I29" s="91">
        <v>0</v>
      </c>
      <c r="J29" s="91">
        <v>0</v>
      </c>
      <c r="K29" s="91">
        <v>1</v>
      </c>
      <c r="L29" s="269">
        <v>0</v>
      </c>
      <c r="M29" s="79"/>
      <c r="O29" s="64" t="s">
        <v>559</v>
      </c>
    </row>
    <row r="30" spans="2:15">
      <c r="B30" s="77">
        <f>ROW(B30)-TableRowShift()</f>
        <v>25</v>
      </c>
      <c r="C30" s="80" t="s">
        <v>560</v>
      </c>
      <c r="D30" s="100" t="s">
        <v>617</v>
      </c>
      <c r="E30" s="101" t="s">
        <v>667</v>
      </c>
      <c r="F30" s="261">
        <v>0</v>
      </c>
      <c r="G30" s="261" t="s">
        <v>695</v>
      </c>
      <c r="H30" s="261" t="s">
        <v>299</v>
      </c>
      <c r="I30" s="91">
        <v>0</v>
      </c>
      <c r="J30" s="91">
        <v>1</v>
      </c>
      <c r="K30" s="91">
        <v>0</v>
      </c>
      <c r="L30" s="269">
        <v>0</v>
      </c>
      <c r="M30" s="79"/>
      <c r="O30" s="64" t="s">
        <v>562</v>
      </c>
    </row>
    <row r="31" spans="2:15">
      <c r="B31" s="77">
        <f>ROW(B31)-TableRowShift()</f>
        <v>26</v>
      </c>
      <c r="C31" s="80" t="s">
        <v>561</v>
      </c>
      <c r="D31" s="100" t="s">
        <v>618</v>
      </c>
      <c r="E31" s="101" t="s">
        <v>798</v>
      </c>
      <c r="F31" s="261">
        <v>0</v>
      </c>
      <c r="G31" s="261" t="s">
        <v>696</v>
      </c>
      <c r="H31" s="261" t="s">
        <v>299</v>
      </c>
      <c r="I31" s="91">
        <v>1</v>
      </c>
      <c r="J31" s="91">
        <v>0</v>
      </c>
      <c r="K31" s="91">
        <v>0</v>
      </c>
      <c r="L31" s="269">
        <v>0</v>
      </c>
      <c r="M31" s="79"/>
      <c r="O31" s="64" t="s">
        <v>563</v>
      </c>
    </row>
    <row r="32" spans="2:15">
      <c r="B32" s="77">
        <f>ROW(B32)-TableRowShift()</f>
        <v>27</v>
      </c>
      <c r="C32" s="80" t="s">
        <v>562</v>
      </c>
      <c r="D32" s="100" t="s">
        <v>619</v>
      </c>
      <c r="E32" s="101" t="s">
        <v>799</v>
      </c>
      <c r="F32" s="261">
        <v>0</v>
      </c>
      <c r="G32" s="261" t="s">
        <v>696</v>
      </c>
      <c r="H32" s="261" t="s">
        <v>700</v>
      </c>
      <c r="I32" s="91">
        <v>0</v>
      </c>
      <c r="J32" s="91">
        <v>0</v>
      </c>
      <c r="K32" s="91">
        <v>1</v>
      </c>
      <c r="L32" s="269">
        <v>0</v>
      </c>
      <c r="M32" s="79"/>
      <c r="O32" s="64" t="s">
        <v>568</v>
      </c>
    </row>
    <row r="33" spans="2:15">
      <c r="B33" s="77">
        <f>ROW(B33)-TableRowShift()</f>
        <v>28</v>
      </c>
      <c r="C33" s="80" t="s">
        <v>563</v>
      </c>
      <c r="D33" s="100" t="s">
        <v>620</v>
      </c>
      <c r="E33" s="101" t="s">
        <v>668</v>
      </c>
      <c r="F33" s="261">
        <v>0</v>
      </c>
      <c r="G33" s="261" t="s">
        <v>696</v>
      </c>
      <c r="H33" s="261" t="s">
        <v>300</v>
      </c>
      <c r="I33" s="91">
        <v>0</v>
      </c>
      <c r="J33" s="91">
        <v>0</v>
      </c>
      <c r="K33" s="91">
        <v>1</v>
      </c>
      <c r="L33" s="269">
        <v>0</v>
      </c>
      <c r="M33" s="79"/>
      <c r="O33" s="64" t="s">
        <v>570</v>
      </c>
    </row>
    <row r="34" spans="2:15">
      <c r="B34" s="77">
        <f>ROW(B34)-TableRowShift()</f>
        <v>29</v>
      </c>
      <c r="C34" s="80" t="s">
        <v>564</v>
      </c>
      <c r="D34" s="100" t="s">
        <v>621</v>
      </c>
      <c r="E34" s="101" t="s">
        <v>669</v>
      </c>
      <c r="F34" s="261">
        <v>0</v>
      </c>
      <c r="G34" s="261" t="s">
        <v>696</v>
      </c>
      <c r="H34" s="261" t="s">
        <v>299</v>
      </c>
      <c r="I34" s="91">
        <v>0</v>
      </c>
      <c r="J34" s="91">
        <v>1</v>
      </c>
      <c r="K34" s="91">
        <v>0</v>
      </c>
      <c r="L34" s="269">
        <v>0</v>
      </c>
      <c r="M34" s="79"/>
      <c r="O34" s="64" t="s">
        <v>571</v>
      </c>
    </row>
    <row r="35" spans="2:15">
      <c r="B35" s="77">
        <f>ROW(B35)-TableRowShift()</f>
        <v>30</v>
      </c>
      <c r="C35" s="80" t="s">
        <v>565</v>
      </c>
      <c r="D35" s="100" t="s">
        <v>622</v>
      </c>
      <c r="E35" s="101" t="s">
        <v>670</v>
      </c>
      <c r="F35" s="261" t="s">
        <v>691</v>
      </c>
      <c r="G35" s="261" t="s">
        <v>696</v>
      </c>
      <c r="H35" s="261" t="s">
        <v>701</v>
      </c>
      <c r="I35" s="91">
        <v>1</v>
      </c>
      <c r="J35" s="91">
        <v>0</v>
      </c>
      <c r="K35" s="91">
        <v>0</v>
      </c>
      <c r="L35" s="269">
        <v>0</v>
      </c>
      <c r="M35" s="79"/>
      <c r="O35" s="64" t="s">
        <v>575</v>
      </c>
    </row>
    <row r="36" spans="2:15">
      <c r="B36" s="77">
        <f>ROW(B36)-TableRowShift()</f>
        <v>31</v>
      </c>
      <c r="C36" s="80" t="s">
        <v>566</v>
      </c>
      <c r="D36" s="100" t="s">
        <v>175</v>
      </c>
      <c r="E36" s="101" t="s">
        <v>671</v>
      </c>
      <c r="F36" s="261">
        <v>0</v>
      </c>
      <c r="G36" s="261" t="s">
        <v>696</v>
      </c>
      <c r="H36" s="261" t="s">
        <v>299</v>
      </c>
      <c r="I36" s="91">
        <v>1</v>
      </c>
      <c r="J36" s="91">
        <v>0</v>
      </c>
      <c r="K36" s="91">
        <v>0</v>
      </c>
      <c r="L36" s="269">
        <v>0</v>
      </c>
      <c r="M36" s="79"/>
      <c r="O36" s="64" t="s">
        <v>576</v>
      </c>
    </row>
    <row r="37" spans="2:15">
      <c r="B37" s="77">
        <f>ROW(B37)-TableRowShift()</f>
        <v>32</v>
      </c>
      <c r="C37" s="80" t="s">
        <v>567</v>
      </c>
      <c r="D37" s="100" t="s">
        <v>623</v>
      </c>
      <c r="E37" s="101" t="s">
        <v>800</v>
      </c>
      <c r="F37" s="261">
        <v>0</v>
      </c>
      <c r="G37" s="261" t="s">
        <v>696</v>
      </c>
      <c r="H37" s="261" t="s">
        <v>700</v>
      </c>
      <c r="I37" s="91">
        <v>0</v>
      </c>
      <c r="J37" s="91">
        <v>0</v>
      </c>
      <c r="K37" s="91">
        <v>0</v>
      </c>
      <c r="L37" s="269">
        <v>1</v>
      </c>
      <c r="M37" s="79"/>
      <c r="O37" s="64" t="s">
        <v>577</v>
      </c>
    </row>
    <row r="38" spans="2:15">
      <c r="B38" s="77">
        <f>ROW(B38)-TableRowShift()</f>
        <v>33</v>
      </c>
      <c r="C38" s="80" t="s">
        <v>568</v>
      </c>
      <c r="D38" s="100" t="s">
        <v>624</v>
      </c>
      <c r="E38" s="101" t="s">
        <v>801</v>
      </c>
      <c r="F38" s="261">
        <v>0</v>
      </c>
      <c r="G38" s="261" t="s">
        <v>696</v>
      </c>
      <c r="H38" s="261" t="s">
        <v>700</v>
      </c>
      <c r="I38" s="91">
        <v>0</v>
      </c>
      <c r="J38" s="91">
        <v>0</v>
      </c>
      <c r="K38" s="91">
        <v>1</v>
      </c>
      <c r="L38" s="269">
        <v>0</v>
      </c>
      <c r="M38" s="79"/>
      <c r="O38" s="64" t="s">
        <v>594</v>
      </c>
    </row>
    <row r="39" spans="2:15">
      <c r="B39" s="77">
        <f>ROW(B39)-TableRowShift()</f>
        <v>34</v>
      </c>
      <c r="C39" s="80" t="s">
        <v>569</v>
      </c>
      <c r="D39" s="100" t="s">
        <v>625</v>
      </c>
      <c r="E39" s="101" t="s">
        <v>672</v>
      </c>
      <c r="F39" s="261">
        <v>0</v>
      </c>
      <c r="G39" s="261" t="s">
        <v>696</v>
      </c>
      <c r="H39" s="261" t="s">
        <v>299</v>
      </c>
      <c r="I39" s="91">
        <v>0</v>
      </c>
      <c r="J39" s="91">
        <v>1</v>
      </c>
      <c r="K39" s="91">
        <v>0</v>
      </c>
      <c r="L39" s="269">
        <v>0</v>
      </c>
      <c r="M39" s="79"/>
      <c r="O39" s="64" t="s">
        <v>246</v>
      </c>
    </row>
    <row r="40" spans="2:15">
      <c r="B40" s="77">
        <f>ROW(B40)-TableRowShift()</f>
        <v>35</v>
      </c>
      <c r="C40" s="80" t="s">
        <v>570</v>
      </c>
      <c r="D40" s="100" t="s">
        <v>626</v>
      </c>
      <c r="E40" s="101" t="s">
        <v>802</v>
      </c>
      <c r="F40" s="261">
        <v>0</v>
      </c>
      <c r="G40" s="261" t="s">
        <v>696</v>
      </c>
      <c r="H40" s="261" t="s">
        <v>700</v>
      </c>
      <c r="I40" s="91">
        <v>0</v>
      </c>
      <c r="J40" s="91">
        <v>0</v>
      </c>
      <c r="K40" s="91">
        <v>1</v>
      </c>
      <c r="L40" s="269">
        <v>0</v>
      </c>
      <c r="M40" s="79"/>
      <c r="O40" s="64" t="s">
        <v>549</v>
      </c>
    </row>
    <row r="41" spans="2:15">
      <c r="B41" s="77">
        <f>ROW(B41)-TableRowShift()</f>
        <v>36</v>
      </c>
      <c r="C41" s="80" t="s">
        <v>571</v>
      </c>
      <c r="D41" s="100" t="s">
        <v>627</v>
      </c>
      <c r="E41" s="101" t="s">
        <v>673</v>
      </c>
      <c r="F41" s="261">
        <v>0</v>
      </c>
      <c r="G41" s="261" t="s">
        <v>696</v>
      </c>
      <c r="H41" s="261" t="s">
        <v>699</v>
      </c>
      <c r="I41" s="91">
        <v>0</v>
      </c>
      <c r="J41" s="91">
        <v>0</v>
      </c>
      <c r="K41" s="91">
        <v>1</v>
      </c>
      <c r="L41" s="269">
        <v>0</v>
      </c>
      <c r="M41" s="79"/>
      <c r="O41" s="64" t="s">
        <v>552</v>
      </c>
    </row>
    <row r="42" spans="2:15">
      <c r="B42" s="77">
        <f>ROW(B42)-TableRowShift()</f>
        <v>37</v>
      </c>
      <c r="C42" s="80" t="s">
        <v>572</v>
      </c>
      <c r="D42" s="100" t="s">
        <v>793</v>
      </c>
      <c r="E42" s="101" t="s">
        <v>803</v>
      </c>
      <c r="F42" s="261">
        <v>0</v>
      </c>
      <c r="G42" s="261" t="s">
        <v>696</v>
      </c>
      <c r="H42" s="261" t="s">
        <v>299</v>
      </c>
      <c r="I42" s="91">
        <v>1</v>
      </c>
      <c r="J42" s="91">
        <v>0</v>
      </c>
      <c r="K42" s="91">
        <v>0</v>
      </c>
      <c r="L42" s="269">
        <v>0</v>
      </c>
      <c r="M42" s="79"/>
      <c r="O42" s="64" t="s">
        <v>555</v>
      </c>
    </row>
    <row r="43" spans="2:15">
      <c r="B43" s="77">
        <f>ROW(B43)-TableRowShift()</f>
        <v>38</v>
      </c>
      <c r="C43" s="80" t="s">
        <v>573</v>
      </c>
      <c r="D43" s="100" t="s">
        <v>628</v>
      </c>
      <c r="E43" s="101" t="s">
        <v>804</v>
      </c>
      <c r="F43" s="261">
        <v>0</v>
      </c>
      <c r="G43" s="261" t="s">
        <v>696</v>
      </c>
      <c r="H43" s="261" t="s">
        <v>700</v>
      </c>
      <c r="I43" s="91">
        <v>0</v>
      </c>
      <c r="J43" s="91">
        <v>0</v>
      </c>
      <c r="K43" s="91">
        <v>0</v>
      </c>
      <c r="L43" s="269">
        <v>1</v>
      </c>
      <c r="M43" s="79"/>
      <c r="O43" s="64" t="s">
        <v>558</v>
      </c>
    </row>
    <row r="44" spans="2:15">
      <c r="B44" s="77">
        <f>ROW(B44)-TableRowShift()</f>
        <v>39</v>
      </c>
      <c r="C44" s="80" t="s">
        <v>574</v>
      </c>
      <c r="D44" s="100" t="s">
        <v>629</v>
      </c>
      <c r="E44" s="101" t="s">
        <v>674</v>
      </c>
      <c r="F44" s="261" t="s">
        <v>692</v>
      </c>
      <c r="G44" s="261" t="s">
        <v>697</v>
      </c>
      <c r="H44" s="261" t="s">
        <v>299</v>
      </c>
      <c r="I44" s="91">
        <v>1</v>
      </c>
      <c r="J44" s="91">
        <v>0</v>
      </c>
      <c r="K44" s="91">
        <v>0</v>
      </c>
      <c r="L44" s="269">
        <v>0</v>
      </c>
      <c r="M44" s="79"/>
      <c r="O44" s="64" t="s">
        <v>567</v>
      </c>
    </row>
    <row r="45" spans="2:15">
      <c r="B45" s="77">
        <f>ROW(B45)-TableRowShift()</f>
        <v>40</v>
      </c>
      <c r="C45" s="80" t="s">
        <v>575</v>
      </c>
      <c r="D45" s="100" t="s">
        <v>630</v>
      </c>
      <c r="E45" s="101" t="s">
        <v>805</v>
      </c>
      <c r="F45" s="261">
        <v>0</v>
      </c>
      <c r="G45" s="261" t="s">
        <v>697</v>
      </c>
      <c r="H45" s="261" t="s">
        <v>300</v>
      </c>
      <c r="I45" s="91">
        <v>0</v>
      </c>
      <c r="J45" s="91">
        <v>0</v>
      </c>
      <c r="K45" s="91">
        <v>1</v>
      </c>
      <c r="L45" s="269">
        <v>0</v>
      </c>
      <c r="M45" s="79"/>
      <c r="O45" s="64" t="s">
        <v>573</v>
      </c>
    </row>
    <row r="46" spans="2:15">
      <c r="B46" s="77">
        <f>ROW(B46)-TableRowShift()</f>
        <v>41</v>
      </c>
      <c r="C46" s="80" t="s">
        <v>576</v>
      </c>
      <c r="D46" s="100" t="s">
        <v>631</v>
      </c>
      <c r="E46" s="101" t="s">
        <v>675</v>
      </c>
      <c r="F46" s="261">
        <v>0</v>
      </c>
      <c r="G46" s="261" t="s">
        <v>697</v>
      </c>
      <c r="H46" s="261" t="s">
        <v>699</v>
      </c>
      <c r="I46" s="91">
        <v>0</v>
      </c>
      <c r="J46" s="91">
        <v>0</v>
      </c>
      <c r="K46" s="91">
        <v>1</v>
      </c>
      <c r="L46" s="269">
        <v>0</v>
      </c>
      <c r="M46" s="79"/>
      <c r="O46" s="64" t="s">
        <v>580</v>
      </c>
    </row>
    <row r="47" spans="2:15">
      <c r="B47" s="77">
        <f>ROW(B47)-TableRowShift()</f>
        <v>42</v>
      </c>
      <c r="C47" s="80" t="s">
        <v>577</v>
      </c>
      <c r="D47" s="100" t="s">
        <v>632</v>
      </c>
      <c r="E47" s="101" t="s">
        <v>806</v>
      </c>
      <c r="F47" s="261">
        <v>0</v>
      </c>
      <c r="G47" s="261" t="s">
        <v>697</v>
      </c>
      <c r="H47" s="261" t="s">
        <v>700</v>
      </c>
      <c r="I47" s="91">
        <v>0</v>
      </c>
      <c r="J47" s="91">
        <v>0</v>
      </c>
      <c r="K47" s="91">
        <v>1</v>
      </c>
      <c r="L47" s="269">
        <v>0</v>
      </c>
      <c r="M47" s="79"/>
      <c r="O47" s="64" t="s">
        <v>592</v>
      </c>
    </row>
    <row r="48" spans="2:15">
      <c r="B48" s="77">
        <f>ROW(B48)-TableRowShift()</f>
        <v>43</v>
      </c>
      <c r="C48" s="80" t="s">
        <v>578</v>
      </c>
      <c r="D48" s="100" t="s">
        <v>633</v>
      </c>
      <c r="E48" s="101" t="s">
        <v>807</v>
      </c>
      <c r="F48" s="261">
        <v>0</v>
      </c>
      <c r="G48" s="261" t="s">
        <v>697</v>
      </c>
      <c r="H48" s="261" t="s">
        <v>299</v>
      </c>
      <c r="I48" s="91">
        <v>0</v>
      </c>
      <c r="J48" s="91">
        <v>1</v>
      </c>
      <c r="K48" s="91">
        <v>0</v>
      </c>
      <c r="L48" s="269">
        <v>0</v>
      </c>
      <c r="M48" s="79"/>
      <c r="O48" s="64" t="s">
        <v>249</v>
      </c>
    </row>
    <row r="49" spans="2:15">
      <c r="B49" s="77">
        <f>ROW(B49)-TableRowShift()</f>
        <v>44</v>
      </c>
      <c r="C49" s="80" t="s">
        <v>579</v>
      </c>
      <c r="D49" s="100" t="s">
        <v>634</v>
      </c>
      <c r="E49" s="101" t="s">
        <v>808</v>
      </c>
      <c r="F49" s="261" t="s">
        <v>693</v>
      </c>
      <c r="G49" s="261" t="s">
        <v>697</v>
      </c>
      <c r="H49" s="261" t="s">
        <v>299</v>
      </c>
      <c r="I49" s="91">
        <v>1</v>
      </c>
      <c r="J49" s="91">
        <v>0</v>
      </c>
      <c r="K49" s="91">
        <v>0</v>
      </c>
      <c r="L49" s="269">
        <v>0</v>
      </c>
      <c r="M49" s="79"/>
      <c r="O49" s="64" t="s">
        <v>245</v>
      </c>
    </row>
    <row r="50" spans="2:15">
      <c r="B50" s="77">
        <f>ROW(B50)-TableRowShift()</f>
        <v>45</v>
      </c>
      <c r="C50" s="80" t="s">
        <v>580</v>
      </c>
      <c r="D50" s="100" t="s">
        <v>635</v>
      </c>
      <c r="E50" s="101" t="s">
        <v>809</v>
      </c>
      <c r="F50" s="261">
        <v>0</v>
      </c>
      <c r="G50" s="261" t="s">
        <v>697</v>
      </c>
      <c r="H50" s="261" t="s">
        <v>700</v>
      </c>
      <c r="I50" s="91">
        <v>0</v>
      </c>
      <c r="J50" s="91">
        <v>0</v>
      </c>
      <c r="K50" s="91">
        <v>0</v>
      </c>
      <c r="L50" s="269">
        <v>1</v>
      </c>
      <c r="M50" s="79"/>
      <c r="O50" s="64" t="s">
        <v>545</v>
      </c>
    </row>
    <row r="51" spans="2:15">
      <c r="B51" s="77">
        <f>ROW(B51)-TableRowShift()</f>
        <v>46</v>
      </c>
      <c r="C51" s="80" t="s">
        <v>581</v>
      </c>
      <c r="D51" s="100" t="s">
        <v>636</v>
      </c>
      <c r="E51" s="101" t="s">
        <v>676</v>
      </c>
      <c r="F51" s="261">
        <v>0</v>
      </c>
      <c r="G51" s="261" t="s">
        <v>697</v>
      </c>
      <c r="H51" s="261" t="s">
        <v>702</v>
      </c>
      <c r="I51" s="91">
        <v>0</v>
      </c>
      <c r="J51" s="91">
        <v>1</v>
      </c>
      <c r="K51" s="91">
        <v>0</v>
      </c>
      <c r="L51" s="269">
        <v>0</v>
      </c>
      <c r="M51" s="79"/>
      <c r="O51" s="64" t="s">
        <v>547</v>
      </c>
    </row>
    <row r="52" spans="2:15">
      <c r="B52" s="77">
        <f>ROW(B52)-TableRowShift()</f>
        <v>47</v>
      </c>
      <c r="C52" s="80" t="s">
        <v>582</v>
      </c>
      <c r="D52" s="100" t="s">
        <v>637</v>
      </c>
      <c r="E52" s="101" t="s">
        <v>677</v>
      </c>
      <c r="F52" s="261">
        <v>0</v>
      </c>
      <c r="G52" s="261" t="s">
        <v>697</v>
      </c>
      <c r="H52" s="261" t="s">
        <v>702</v>
      </c>
      <c r="I52" s="91">
        <v>1</v>
      </c>
      <c r="J52" s="91">
        <v>0</v>
      </c>
      <c r="K52" s="91">
        <v>0</v>
      </c>
      <c r="L52" s="269">
        <v>0</v>
      </c>
      <c r="M52" s="79"/>
      <c r="O52" s="64" t="s">
        <v>550</v>
      </c>
    </row>
    <row r="53" spans="2:15">
      <c r="B53" s="77">
        <f>ROW(B53)-TableRowShift()</f>
        <v>48</v>
      </c>
      <c r="C53" s="80" t="s">
        <v>583</v>
      </c>
      <c r="D53" s="100" t="s">
        <v>638</v>
      </c>
      <c r="E53" s="101" t="s">
        <v>678</v>
      </c>
      <c r="F53" s="261">
        <v>0</v>
      </c>
      <c r="G53" s="261" t="s">
        <v>697</v>
      </c>
      <c r="H53" s="261" t="s">
        <v>703</v>
      </c>
      <c r="I53" s="91">
        <v>0</v>
      </c>
      <c r="J53" s="91">
        <v>1</v>
      </c>
      <c r="K53" s="91">
        <v>0</v>
      </c>
      <c r="L53" s="269">
        <v>0</v>
      </c>
      <c r="M53" s="79"/>
      <c r="O53" s="64" t="s">
        <v>556</v>
      </c>
    </row>
    <row r="54" spans="2:15">
      <c r="B54" s="77">
        <f>ROW(B54)-TableRowShift()</f>
        <v>49</v>
      </c>
      <c r="C54" s="80" t="s">
        <v>584</v>
      </c>
      <c r="D54" s="100" t="s">
        <v>639</v>
      </c>
      <c r="E54" s="101" t="s">
        <v>679</v>
      </c>
      <c r="F54" s="261">
        <v>0</v>
      </c>
      <c r="G54" s="261" t="s">
        <v>697</v>
      </c>
      <c r="H54" s="261" t="s">
        <v>703</v>
      </c>
      <c r="I54" s="91">
        <v>1</v>
      </c>
      <c r="J54" s="91">
        <v>0</v>
      </c>
      <c r="K54" s="91">
        <v>0</v>
      </c>
      <c r="L54" s="269">
        <v>0</v>
      </c>
      <c r="M54" s="79"/>
      <c r="O54" s="64" t="s">
        <v>560</v>
      </c>
    </row>
    <row r="55" spans="2:15">
      <c r="B55" s="77">
        <f>ROW(B55)-TableRowShift()</f>
        <v>50</v>
      </c>
      <c r="C55" s="80" t="s">
        <v>585</v>
      </c>
      <c r="D55" s="100" t="s">
        <v>636</v>
      </c>
      <c r="E55" s="101" t="s">
        <v>810</v>
      </c>
      <c r="F55" s="261">
        <v>0</v>
      </c>
      <c r="G55" s="261" t="s">
        <v>697</v>
      </c>
      <c r="H55" s="261" t="s">
        <v>704</v>
      </c>
      <c r="I55" s="91">
        <v>0</v>
      </c>
      <c r="J55" s="91">
        <v>1</v>
      </c>
      <c r="K55" s="91">
        <v>0</v>
      </c>
      <c r="L55" s="269">
        <v>0</v>
      </c>
      <c r="M55" s="79"/>
      <c r="O55" s="64" t="s">
        <v>564</v>
      </c>
    </row>
    <row r="56" spans="2:15">
      <c r="B56" s="77">
        <f>ROW(B56)-TableRowShift()</f>
        <v>51</v>
      </c>
      <c r="C56" s="80" t="s">
        <v>586</v>
      </c>
      <c r="D56" s="100" t="s">
        <v>637</v>
      </c>
      <c r="E56" s="101" t="s">
        <v>680</v>
      </c>
      <c r="F56" s="261">
        <v>0</v>
      </c>
      <c r="G56" s="261" t="s">
        <v>697</v>
      </c>
      <c r="H56" s="261" t="s">
        <v>704</v>
      </c>
      <c r="I56" s="91">
        <v>1</v>
      </c>
      <c r="J56" s="91">
        <v>0</v>
      </c>
      <c r="K56" s="91">
        <v>0</v>
      </c>
      <c r="L56" s="269">
        <v>0</v>
      </c>
      <c r="M56" s="79"/>
      <c r="O56" s="64" t="s">
        <v>569</v>
      </c>
    </row>
    <row r="57" spans="2:15">
      <c r="B57" s="77">
        <f>ROW(B57)-TableRowShift()</f>
        <v>52</v>
      </c>
      <c r="C57" s="80" t="s">
        <v>587</v>
      </c>
      <c r="D57" s="100" t="s">
        <v>638</v>
      </c>
      <c r="E57" s="101" t="s">
        <v>681</v>
      </c>
      <c r="F57" s="261">
        <v>0</v>
      </c>
      <c r="G57" s="261" t="s">
        <v>697</v>
      </c>
      <c r="H57" s="261" t="s">
        <v>704</v>
      </c>
      <c r="I57" s="91">
        <v>0</v>
      </c>
      <c r="J57" s="91">
        <v>1</v>
      </c>
      <c r="K57" s="91">
        <v>0</v>
      </c>
      <c r="L57" s="269">
        <v>0</v>
      </c>
      <c r="M57" s="79"/>
      <c r="O57" s="64" t="s">
        <v>578</v>
      </c>
    </row>
    <row r="58" spans="2:15">
      <c r="B58" s="77">
        <f>ROW(B58)-TableRowShift()</f>
        <v>53</v>
      </c>
      <c r="C58" s="80" t="s">
        <v>588</v>
      </c>
      <c r="D58" s="100" t="s">
        <v>639</v>
      </c>
      <c r="E58" s="101" t="s">
        <v>682</v>
      </c>
      <c r="F58" s="261">
        <v>0</v>
      </c>
      <c r="G58" s="261" t="s">
        <v>697</v>
      </c>
      <c r="H58" s="261" t="s">
        <v>704</v>
      </c>
      <c r="I58" s="91">
        <v>1</v>
      </c>
      <c r="J58" s="91">
        <v>0</v>
      </c>
      <c r="K58" s="91">
        <v>0</v>
      </c>
      <c r="L58" s="269">
        <v>0</v>
      </c>
      <c r="M58" s="79"/>
      <c r="O58" s="64" t="s">
        <v>581</v>
      </c>
    </row>
    <row r="59" spans="2:15">
      <c r="B59" s="77">
        <f>ROW(B59)-TableRowShift()</f>
        <v>54</v>
      </c>
      <c r="C59" s="80" t="s">
        <v>589</v>
      </c>
      <c r="D59" s="100" t="s">
        <v>640</v>
      </c>
      <c r="E59" s="101" t="s">
        <v>683</v>
      </c>
      <c r="F59" s="261">
        <v>0</v>
      </c>
      <c r="G59" s="261" t="s">
        <v>697</v>
      </c>
      <c r="H59" s="261" t="s">
        <v>299</v>
      </c>
      <c r="I59" s="91">
        <v>0</v>
      </c>
      <c r="J59" s="91">
        <v>1</v>
      </c>
      <c r="K59" s="91">
        <v>0</v>
      </c>
      <c r="L59" s="269">
        <v>0</v>
      </c>
      <c r="M59" s="79"/>
      <c r="O59" s="64" t="s">
        <v>583</v>
      </c>
    </row>
    <row r="60" spans="2:15">
      <c r="B60" s="77">
        <f>ROW(B60)-TableRowShift()</f>
        <v>55</v>
      </c>
      <c r="C60" s="80" t="s">
        <v>590</v>
      </c>
      <c r="D60" s="100" t="s">
        <v>641</v>
      </c>
      <c r="E60" s="101" t="s">
        <v>811</v>
      </c>
      <c r="F60" s="261">
        <v>0</v>
      </c>
      <c r="G60" s="261" t="s">
        <v>697</v>
      </c>
      <c r="H60" s="261" t="s">
        <v>299</v>
      </c>
      <c r="I60" s="91">
        <v>1</v>
      </c>
      <c r="J60" s="91">
        <v>0</v>
      </c>
      <c r="K60" s="91">
        <v>0</v>
      </c>
      <c r="L60" s="269">
        <v>0</v>
      </c>
      <c r="M60" s="79"/>
      <c r="O60" s="64" t="s">
        <v>585</v>
      </c>
    </row>
    <row r="61" spans="2:15">
      <c r="B61" s="77">
        <f>ROW(B61)-TableRowShift()</f>
        <v>56</v>
      </c>
      <c r="C61" s="80" t="s">
        <v>591</v>
      </c>
      <c r="D61" s="100" t="s">
        <v>642</v>
      </c>
      <c r="E61" s="101" t="s">
        <v>684</v>
      </c>
      <c r="F61" s="261">
        <v>0</v>
      </c>
      <c r="G61" s="261" t="s">
        <v>697</v>
      </c>
      <c r="H61" s="261" t="s">
        <v>299</v>
      </c>
      <c r="I61" s="91">
        <v>0</v>
      </c>
      <c r="J61" s="91">
        <v>1</v>
      </c>
      <c r="K61" s="91">
        <v>0</v>
      </c>
      <c r="L61" s="269">
        <v>0</v>
      </c>
      <c r="M61" s="79"/>
      <c r="O61" s="64" t="s">
        <v>587</v>
      </c>
    </row>
    <row r="62" spans="2:15">
      <c r="B62" s="77">
        <f>ROW(B62)-TableRowShift()</f>
        <v>57</v>
      </c>
      <c r="C62" s="80" t="s">
        <v>592</v>
      </c>
      <c r="D62" s="100" t="s">
        <v>643</v>
      </c>
      <c r="E62" s="101" t="s">
        <v>685</v>
      </c>
      <c r="F62" s="261">
        <v>0</v>
      </c>
      <c r="G62" s="261" t="s">
        <v>697</v>
      </c>
      <c r="H62" s="261" t="s">
        <v>705</v>
      </c>
      <c r="I62" s="91">
        <v>0</v>
      </c>
      <c r="J62" s="91">
        <v>0</v>
      </c>
      <c r="K62" s="91">
        <v>0</v>
      </c>
      <c r="L62" s="269">
        <v>1</v>
      </c>
      <c r="M62" s="79"/>
      <c r="O62" s="64" t="s">
        <v>589</v>
      </c>
    </row>
    <row r="63" spans="2:15">
      <c r="B63" s="77">
        <f>ROW(B63)-TableRowShift()</f>
        <v>58</v>
      </c>
      <c r="C63" s="80" t="s">
        <v>593</v>
      </c>
      <c r="D63" s="100" t="s">
        <v>644</v>
      </c>
      <c r="E63" s="101" t="s">
        <v>812</v>
      </c>
      <c r="F63" s="261" t="s">
        <v>694</v>
      </c>
      <c r="G63" s="261" t="s">
        <v>697</v>
      </c>
      <c r="H63" s="261" t="s">
        <v>299</v>
      </c>
      <c r="I63" s="91">
        <v>1</v>
      </c>
      <c r="J63" s="91">
        <v>0</v>
      </c>
      <c r="K63" s="91">
        <v>0</v>
      </c>
      <c r="L63" s="269">
        <v>0</v>
      </c>
      <c r="M63" s="79"/>
      <c r="O63" s="64" t="s">
        <v>591</v>
      </c>
    </row>
    <row r="64" spans="2:15">
      <c r="B64" s="77">
        <f>ROW(B64)-TableRowShift()</f>
        <v>59</v>
      </c>
      <c r="C64" s="80" t="s">
        <v>594</v>
      </c>
      <c r="D64" s="100" t="s">
        <v>645</v>
      </c>
      <c r="E64" s="101" t="s">
        <v>686</v>
      </c>
      <c r="F64" s="261">
        <v>0</v>
      </c>
      <c r="G64" s="261" t="s">
        <v>697</v>
      </c>
      <c r="H64" s="261" t="s">
        <v>705</v>
      </c>
      <c r="I64" s="91">
        <v>0</v>
      </c>
      <c r="J64" s="91">
        <v>0</v>
      </c>
      <c r="K64" s="91">
        <v>1</v>
      </c>
      <c r="L64" s="269">
        <v>0</v>
      </c>
      <c r="M64" s="79"/>
      <c r="O64" s="64" t="s">
        <v>595</v>
      </c>
    </row>
    <row r="65" spans="2:13">
      <c r="B65" s="77">
        <f>ROW(B65)-TableRowShift()</f>
        <v>60</v>
      </c>
      <c r="C65" s="80" t="s">
        <v>595</v>
      </c>
      <c r="D65" s="100" t="s">
        <v>646</v>
      </c>
      <c r="E65" s="101" t="s">
        <v>687</v>
      </c>
      <c r="F65" s="261">
        <v>0</v>
      </c>
      <c r="G65" s="261" t="s">
        <v>697</v>
      </c>
      <c r="H65" s="261" t="s">
        <v>299</v>
      </c>
      <c r="I65" s="91">
        <v>0</v>
      </c>
      <c r="J65" s="91">
        <v>1</v>
      </c>
      <c r="K65" s="91">
        <v>0</v>
      </c>
      <c r="L65" s="269">
        <v>0</v>
      </c>
      <c r="M65" s="79"/>
    </row>
    <row r="66" spans="2:13" ht="12.75" hidden="1" customHeight="1">
      <c r="B66" s="77">
        <f>ROW(B66)-TableRowShift()</f>
        <v>61</v>
      </c>
      <c r="C66" s="81"/>
      <c r="D66" s="102"/>
      <c r="E66" s="103"/>
      <c r="F66" s="262"/>
      <c r="G66" s="262"/>
      <c r="H66" s="262"/>
      <c r="I66" s="92"/>
      <c r="J66" s="92"/>
      <c r="K66" s="92"/>
      <c r="L66" s="270"/>
      <c r="M66" s="79"/>
    </row>
    <row r="67" spans="2:13" ht="15.75">
      <c r="B67" s="94"/>
      <c r="C67" s="263"/>
      <c r="D67" s="264"/>
      <c r="E67" s="271" t="str">
        <f>CONCATENATE("CFP per Data Movement Type",":")</f>
        <v>CFP per Data Movement Type:</v>
      </c>
      <c r="F67" s="265"/>
      <c r="G67" s="265"/>
      <c r="H67" s="265"/>
      <c r="I67" s="266">
        <f>SUM(I5:I66)</f>
        <v>21</v>
      </c>
      <c r="J67" s="267">
        <f>SUM(J5:J66)</f>
        <v>17</v>
      </c>
      <c r="K67" s="267">
        <f>SUM(K5:K66)</f>
        <v>13</v>
      </c>
      <c r="L67" s="267">
        <f>SUM(L5:L66)</f>
        <v>9</v>
      </c>
      <c r="M67" s="79"/>
    </row>
    <row r="68" spans="2:13" ht="18">
      <c r="B68" s="94"/>
      <c r="C68" s="95"/>
      <c r="D68" s="96"/>
      <c r="E68" s="97" t="str">
        <f>CONCATENATE("Total CFP",":")</f>
        <v>Total CFP:</v>
      </c>
      <c r="F68" s="97"/>
      <c r="G68" s="97"/>
      <c r="H68" s="97"/>
      <c r="I68" s="443">
        <f>SUM(I67:L67)</f>
        <v>60</v>
      </c>
      <c r="J68" s="443"/>
      <c r="K68" s="443"/>
      <c r="L68" s="443"/>
      <c r="M68" s="79"/>
    </row>
    <row r="69" spans="2:13" ht="6.75" customHeight="1" thickBot="1">
      <c r="B69" s="82"/>
      <c r="C69" s="83"/>
      <c r="D69" s="84"/>
      <c r="E69" s="85"/>
      <c r="F69" s="85"/>
      <c r="G69" s="85"/>
      <c r="H69" s="85"/>
      <c r="I69" s="93"/>
      <c r="J69" s="93"/>
      <c r="K69" s="93"/>
      <c r="L69" s="93"/>
      <c r="M69" s="86"/>
    </row>
    <row r="70" spans="2:13">
      <c r="C70" s="64"/>
      <c r="D70" s="64"/>
      <c r="I70" s="64"/>
      <c r="J70" s="64"/>
      <c r="K70" s="64"/>
      <c r="L70" s="64"/>
    </row>
    <row r="71" spans="2:13">
      <c r="C71" s="64"/>
      <c r="D71" s="64"/>
      <c r="I71" s="64"/>
      <c r="J71" s="64"/>
      <c r="K71" s="64"/>
      <c r="L71" s="64"/>
    </row>
    <row r="72" spans="2:13">
      <c r="C72" s="64"/>
      <c r="D72" s="64"/>
      <c r="I72" s="64"/>
      <c r="J72" s="64"/>
      <c r="K72" s="64"/>
      <c r="L72" s="64"/>
    </row>
    <row r="73" spans="2:13">
      <c r="C73" s="64"/>
      <c r="D73" s="64"/>
      <c r="I73" s="64"/>
      <c r="J73" s="64"/>
      <c r="K73" s="64"/>
      <c r="L73" s="64"/>
    </row>
    <row r="74" spans="2:13">
      <c r="C74" s="64"/>
      <c r="D74" s="64"/>
      <c r="I74" s="64"/>
      <c r="J74" s="64"/>
      <c r="K74" s="64"/>
      <c r="L74" s="64"/>
    </row>
    <row r="75" spans="2:13">
      <c r="C75" s="64"/>
      <c r="D75" s="64"/>
      <c r="I75" s="64"/>
      <c r="J75" s="64"/>
      <c r="K75" s="64"/>
      <c r="L75" s="64"/>
    </row>
    <row r="76" spans="2:13">
      <c r="C76" s="64"/>
      <c r="D76" s="64"/>
      <c r="I76" s="64"/>
      <c r="J76" s="64"/>
      <c r="K76" s="64"/>
      <c r="L76" s="64"/>
    </row>
    <row r="77" spans="2:13">
      <c r="C77" s="64"/>
      <c r="D77" s="64"/>
      <c r="I77" s="64"/>
      <c r="J77" s="64"/>
      <c r="K77" s="64"/>
      <c r="L77" s="64"/>
    </row>
    <row r="78" spans="2:13">
      <c r="C78" s="64"/>
      <c r="D78" s="64"/>
      <c r="I78" s="64"/>
      <c r="J78" s="64"/>
      <c r="K78" s="64"/>
      <c r="L78" s="64"/>
    </row>
    <row r="79" spans="2:13">
      <c r="C79" s="64"/>
      <c r="D79" s="64"/>
      <c r="I79" s="64"/>
      <c r="J79" s="64"/>
      <c r="K79" s="64"/>
      <c r="L79" s="64"/>
    </row>
    <row r="80" spans="2:13">
      <c r="C80" s="64"/>
      <c r="D80" s="64"/>
      <c r="I80" s="64"/>
      <c r="J80" s="64"/>
      <c r="K80" s="64"/>
      <c r="L80" s="64"/>
    </row>
    <row r="81" spans="3:12">
      <c r="C81" s="64"/>
      <c r="D81" s="64"/>
      <c r="I81" s="64"/>
      <c r="J81" s="64"/>
      <c r="K81" s="64"/>
      <c r="L81" s="64"/>
    </row>
    <row r="82" spans="3:12">
      <c r="C82" s="64"/>
      <c r="D82" s="64"/>
      <c r="I82" s="64"/>
      <c r="J82" s="64"/>
      <c r="K82" s="64"/>
      <c r="L82" s="64"/>
    </row>
    <row r="83" spans="3:12">
      <c r="C83" s="64"/>
      <c r="D83" s="64"/>
      <c r="I83" s="64"/>
      <c r="J83" s="64"/>
      <c r="K83" s="64"/>
      <c r="L83" s="64"/>
    </row>
    <row r="84" spans="3:12">
      <c r="C84" s="64"/>
      <c r="D84" s="64"/>
      <c r="I84" s="64"/>
      <c r="J84" s="64"/>
      <c r="K84" s="64"/>
      <c r="L84" s="64"/>
    </row>
    <row r="85" spans="3:12">
      <c r="C85" s="64"/>
      <c r="D85" s="64"/>
      <c r="I85" s="64"/>
      <c r="J85" s="64"/>
      <c r="K85" s="64"/>
      <c r="L85" s="64"/>
    </row>
    <row r="86" spans="3:12">
      <c r="C86" s="64"/>
      <c r="D86" s="64"/>
      <c r="I86" s="64"/>
      <c r="J86" s="64"/>
      <c r="K86" s="64"/>
      <c r="L86" s="64"/>
    </row>
    <row r="87" spans="3:12">
      <c r="C87" s="64"/>
      <c r="D87" s="64"/>
      <c r="I87" s="64"/>
      <c r="J87" s="64"/>
      <c r="K87" s="64"/>
      <c r="L87" s="64"/>
    </row>
    <row r="88" spans="3:12">
      <c r="C88" s="64"/>
      <c r="D88" s="64"/>
      <c r="I88" s="64"/>
      <c r="J88" s="64"/>
      <c r="K88" s="64"/>
      <c r="L88" s="64"/>
    </row>
    <row r="89" spans="3:12">
      <c r="C89" s="64"/>
      <c r="D89" s="64"/>
      <c r="I89" s="64"/>
      <c r="J89" s="64"/>
      <c r="K89" s="64"/>
      <c r="L89" s="64"/>
    </row>
  </sheetData>
  <sheetProtection sheet="1" objects="1" scenarios="1" selectLockedCells="1"/>
  <mergeCells count="3">
    <mergeCell ref="I68:L68"/>
    <mergeCell ref="I3:L3"/>
    <mergeCell ref="C3:E3"/>
  </mergeCells>
  <dataValidations count="1">
    <dataValidation type="whole" errorStyle="warning" allowBlank="1" showErrorMessage="1" errorTitle="Nothing, or 1" error="You should not sum Cfsu unless you're really sure" sqref="I6:L66">
      <formula1>0</formula1>
      <formula2>1</formula2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ingSheet"/>
  <dimension ref="A1"/>
  <sheetViews>
    <sheetView showGridLines="0" zoomScale="80" zoomScaleNormal="80" workbookViewId="0">
      <pane ySplit="3" topLeftCell="A28" activePane="bottomLeft" state="frozen"/>
      <selection pane="bottomLeft" activeCell="G2" sqref="G2"/>
    </sheetView>
  </sheetViews>
  <sheetFormatPr defaultColWidth="22.33203125" defaultRowHeight="25.5" customHeight="1"/>
  <cols>
    <col min="1" max="646" width="22.33203125" style="87" customWidth="1"/>
    <col min="647" max="16384" width="22.33203125" style="87"/>
  </cols>
  <sheetData>
    <row r="1" spans="1:1" ht="25.5" customHeight="1">
      <c r="A1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lation"/>
  <dimension ref="A1:C251"/>
  <sheetViews>
    <sheetView workbookViewId="0"/>
  </sheetViews>
  <sheetFormatPr defaultColWidth="44.1640625" defaultRowHeight="11.25"/>
  <cols>
    <col min="1" max="1" width="37.6640625" style="301" bestFit="1" customWidth="1"/>
    <col min="2" max="16384" width="44.1640625" style="301"/>
  </cols>
  <sheetData>
    <row r="1" spans="1:3" ht="12.75">
      <c r="A1" s="55">
        <v>1</v>
      </c>
      <c r="B1" s="366" t="s">
        <v>0</v>
      </c>
      <c r="C1" s="366" t="s">
        <v>1</v>
      </c>
    </row>
    <row r="2" spans="1:3">
      <c r="A2" s="56" t="str">
        <f t="shared" ref="A2:A35" si="0">CHOOSE(SelectLanguage,B2,C2)</f>
        <v>Language</v>
      </c>
      <c r="B2" s="306" t="s">
        <v>341</v>
      </c>
      <c r="C2" s="306" t="s">
        <v>342</v>
      </c>
    </row>
    <row r="3" spans="1:3">
      <c r="A3" s="56" t="str">
        <f t="shared" si="0"/>
        <v>Customer's Needs</v>
      </c>
      <c r="B3" s="301" t="s">
        <v>2</v>
      </c>
      <c r="C3" s="301" t="s">
        <v>3</v>
      </c>
    </row>
    <row r="4" spans="1:3">
      <c r="A4" s="56" t="str">
        <f t="shared" si="0"/>
        <v>Business Drivers</v>
      </c>
      <c r="B4" s="306" t="s">
        <v>4</v>
      </c>
      <c r="C4" s="306" t="s">
        <v>5</v>
      </c>
    </row>
    <row r="5" spans="1:3">
      <c r="A5" s="56" t="str">
        <f t="shared" si="0"/>
        <v>Topics</v>
      </c>
      <c r="B5" s="301" t="s">
        <v>6</v>
      </c>
      <c r="C5" s="301" t="s">
        <v>7</v>
      </c>
    </row>
    <row r="6" spans="1:3">
      <c r="A6" s="56" t="str">
        <f t="shared" si="0"/>
        <v>Attributes</v>
      </c>
      <c r="B6" s="301" t="s">
        <v>8</v>
      </c>
      <c r="C6" s="301" t="s">
        <v>9</v>
      </c>
    </row>
    <row r="7" spans="1:3">
      <c r="A7" s="56" t="str">
        <f t="shared" si="0"/>
        <v>Weight</v>
      </c>
      <c r="B7" s="301" t="s">
        <v>10</v>
      </c>
      <c r="C7" s="301" t="s">
        <v>11</v>
      </c>
    </row>
    <row r="8" spans="1:3">
      <c r="A8" s="56" t="str">
        <f t="shared" si="0"/>
        <v>Customer Segments</v>
      </c>
      <c r="B8" s="306" t="s">
        <v>12</v>
      </c>
      <c r="C8" s="306" t="s">
        <v>13</v>
      </c>
    </row>
    <row r="9" spans="1:3">
      <c r="A9" s="56" t="str">
        <f t="shared" si="0"/>
        <v>Market Segments</v>
      </c>
      <c r="B9" s="301" t="s">
        <v>261</v>
      </c>
      <c r="C9" s="301" t="s">
        <v>262</v>
      </c>
    </row>
    <row r="10" spans="1:3">
      <c r="A10" s="56" t="str">
        <f t="shared" si="0"/>
        <v xml:space="preserve"> after Introduction</v>
      </c>
      <c r="B10" s="301" t="s">
        <v>14</v>
      </c>
      <c r="C10" s="301" t="s">
        <v>15</v>
      </c>
    </row>
    <row r="11" spans="1:3">
      <c r="A11" s="56" t="str">
        <f t="shared" si="0"/>
        <v>Profile</v>
      </c>
      <c r="B11" s="301" t="s">
        <v>16</v>
      </c>
      <c r="C11" s="301" t="s">
        <v>17</v>
      </c>
    </row>
    <row r="12" spans="1:3">
      <c r="A12" s="56" t="str">
        <f t="shared" si="0"/>
        <v>Size</v>
      </c>
      <c r="B12" s="301" t="s">
        <v>18</v>
      </c>
      <c r="C12" s="301" t="s">
        <v>19</v>
      </c>
    </row>
    <row r="13" spans="1:3">
      <c r="A13" s="56" t="str">
        <f t="shared" si="0"/>
        <v xml:space="preserve"> of </v>
      </c>
      <c r="B13" s="301" t="s">
        <v>20</v>
      </c>
      <c r="C13" s="301" t="s">
        <v>21</v>
      </c>
    </row>
    <row r="14" spans="1:3">
      <c r="A14" s="56" t="str">
        <f t="shared" si="0"/>
        <v xml:space="preserve"> for </v>
      </c>
      <c r="B14" s="301" t="s">
        <v>22</v>
      </c>
      <c r="C14" s="301" t="s">
        <v>23</v>
      </c>
    </row>
    <row r="15" spans="1:3">
      <c r="A15" s="56" t="str">
        <f t="shared" si="0"/>
        <v xml:space="preserve"> and </v>
      </c>
      <c r="B15" s="301" t="s">
        <v>24</v>
      </c>
      <c r="C15" s="301" t="s">
        <v>25</v>
      </c>
    </row>
    <row r="16" spans="1:3">
      <c r="A16" s="56" t="str">
        <f t="shared" si="0"/>
        <v>Achieved Profile</v>
      </c>
      <c r="B16" s="306" t="s">
        <v>137</v>
      </c>
      <c r="C16" s="306" t="s">
        <v>26</v>
      </c>
    </row>
    <row r="17" spans="1:3">
      <c r="A17" s="56" t="str">
        <f t="shared" si="0"/>
        <v>Needs Analysis Combinator</v>
      </c>
      <c r="B17" s="301" t="s">
        <v>27</v>
      </c>
      <c r="C17" s="301" t="s">
        <v>28</v>
      </c>
    </row>
    <row r="18" spans="1:3">
      <c r="A18" s="56" t="str">
        <f t="shared" si="0"/>
        <v>Convergence Gap</v>
      </c>
      <c r="B18" s="306" t="s">
        <v>29</v>
      </c>
      <c r="C18" s="301" t="s">
        <v>30</v>
      </c>
    </row>
    <row r="19" spans="1:3">
      <c r="A19" s="56" t="str">
        <f t="shared" si="0"/>
        <v xml:space="preserve">Convergence Range   </v>
      </c>
      <c r="B19" s="301" t="s">
        <v>343</v>
      </c>
      <c r="C19" s="301" t="s">
        <v>344</v>
      </c>
    </row>
    <row r="20" spans="1:3">
      <c r="A20" s="56" t="str">
        <f t="shared" si="0"/>
        <v>Convergence Limit</v>
      </c>
      <c r="B20" s="306" t="s">
        <v>345</v>
      </c>
      <c r="C20" s="306" t="s">
        <v>346</v>
      </c>
    </row>
    <row r="21" spans="1:3">
      <c r="A21" s="56" t="str">
        <f t="shared" si="0"/>
        <v>Confidence Interval</v>
      </c>
      <c r="B21" s="306" t="s">
        <v>31</v>
      </c>
      <c r="C21" s="306" t="s">
        <v>32</v>
      </c>
    </row>
    <row r="22" spans="1:3">
      <c r="A22" s="56" t="str">
        <f t="shared" si="0"/>
        <v>Raw Profile</v>
      </c>
      <c r="B22" s="301" t="s">
        <v>33</v>
      </c>
      <c r="C22" s="301" t="s">
        <v>34</v>
      </c>
    </row>
    <row r="23" spans="1:3">
      <c r="A23" s="56" t="str">
        <f t="shared" si="0"/>
        <v>Normalized Profile</v>
      </c>
      <c r="B23" s="301" t="s">
        <v>35</v>
      </c>
      <c r="C23" s="301" t="s">
        <v>36</v>
      </c>
    </row>
    <row r="24" spans="1:3">
      <c r="A24" s="56" t="str">
        <f t="shared" si="0"/>
        <v>Solution Profile</v>
      </c>
      <c r="B24" s="301" t="s">
        <v>37</v>
      </c>
      <c r="C24" s="301" t="s">
        <v>38</v>
      </c>
    </row>
    <row r="25" spans="1:3">
      <c r="A25" s="56" t="str">
        <f t="shared" si="0"/>
        <v>Count</v>
      </c>
      <c r="B25" s="301" t="s">
        <v>39</v>
      </c>
      <c r="C25" s="301" t="s">
        <v>40</v>
      </c>
    </row>
    <row r="26" spans="1:3">
      <c r="A26" s="56" t="str">
        <f t="shared" si="0"/>
        <v>No of references made</v>
      </c>
      <c r="B26" s="301" t="s">
        <v>41</v>
      </c>
      <c r="C26" s="301" t="s">
        <v>42</v>
      </c>
    </row>
    <row r="27" spans="1:3">
      <c r="A27" s="56" t="str">
        <f t="shared" si="0"/>
        <v>Complaints &amp; Wishes</v>
      </c>
      <c r="B27" s="301" t="s">
        <v>43</v>
      </c>
      <c r="C27" s="301" t="s">
        <v>44</v>
      </c>
    </row>
    <row r="28" spans="1:3">
      <c r="A28" s="56" t="str">
        <f t="shared" si="0"/>
        <v>Reason for Buying</v>
      </c>
      <c r="B28" s="301" t="s">
        <v>45</v>
      </c>
      <c r="C28" s="301" t="s">
        <v>46</v>
      </c>
    </row>
    <row r="29" spans="1:3">
      <c r="A29" s="56" t="str">
        <f t="shared" si="0"/>
        <v>Reason for Using</v>
      </c>
      <c r="B29" s="301" t="s">
        <v>47</v>
      </c>
      <c r="C29" s="301" t="s">
        <v>48</v>
      </c>
    </row>
    <row r="30" spans="1:3">
      <c r="A30" s="56" t="str">
        <f t="shared" si="0"/>
        <v>Customer Questionnaire</v>
      </c>
      <c r="B30" s="301" t="s">
        <v>49</v>
      </c>
      <c r="C30" s="301" t="s">
        <v>50</v>
      </c>
    </row>
    <row r="31" spans="1:3">
      <c r="A31" s="56" t="str">
        <f t="shared" si="0"/>
        <v>Not Important</v>
      </c>
      <c r="B31" s="301" t="s">
        <v>51</v>
      </c>
      <c r="C31" s="301" t="s">
        <v>52</v>
      </c>
    </row>
    <row r="32" spans="1:3">
      <c r="A32" s="56" t="str">
        <f t="shared" si="0"/>
        <v>Nice To Have</v>
      </c>
      <c r="B32" s="301" t="s">
        <v>53</v>
      </c>
      <c r="C32" s="301" t="s">
        <v>54</v>
      </c>
    </row>
    <row r="33" spans="1:3">
      <c r="A33" s="56" t="str">
        <f t="shared" si="0"/>
        <v>Important</v>
      </c>
      <c r="B33" s="301" t="s">
        <v>55</v>
      </c>
      <c r="C33" s="301" t="s">
        <v>56</v>
      </c>
    </row>
    <row r="34" spans="1:3">
      <c r="A34" s="56" t="str">
        <f t="shared" si="0"/>
        <v>Essential</v>
      </c>
      <c r="B34" s="301" t="s">
        <v>57</v>
      </c>
      <c r="C34" s="301" t="s">
        <v>58</v>
      </c>
    </row>
    <row r="35" spans="1:3">
      <c r="A35" s="56" t="str">
        <f t="shared" si="0"/>
        <v>Poor</v>
      </c>
      <c r="B35" s="301" t="s">
        <v>59</v>
      </c>
      <c r="C35" s="301" t="s">
        <v>60</v>
      </c>
    </row>
    <row r="36" spans="1:3">
      <c r="A36" s="56" t="str">
        <f t="shared" ref="A36:A66" si="1">CHOOSE(SelectLanguage,B36,C36)</f>
        <v>OK</v>
      </c>
      <c r="B36" s="301" t="s">
        <v>61</v>
      </c>
      <c r="C36" s="301" t="s">
        <v>62</v>
      </c>
    </row>
    <row r="37" spans="1:3">
      <c r="A37" s="56" t="str">
        <f t="shared" si="1"/>
        <v>Good</v>
      </c>
      <c r="B37" s="301" t="s">
        <v>63</v>
      </c>
      <c r="C37" s="301" t="s">
        <v>64</v>
      </c>
    </row>
    <row r="38" spans="1:3">
      <c r="A38" s="56" t="str">
        <f t="shared" si="1"/>
        <v>Top</v>
      </c>
      <c r="B38" s="301" t="s">
        <v>65</v>
      </c>
      <c r="C38" s="301" t="s">
        <v>66</v>
      </c>
    </row>
    <row r="39" spans="1:3">
      <c r="A39" s="56" t="str">
        <f t="shared" si="1"/>
        <v>Score</v>
      </c>
      <c r="B39" s="301" t="s">
        <v>67</v>
      </c>
      <c r="C39" s="301" t="s">
        <v>68</v>
      </c>
    </row>
    <row r="40" spans="1:3">
      <c r="A40" s="56" t="str">
        <f t="shared" si="1"/>
        <v>Market Share &amp; Competition</v>
      </c>
      <c r="B40" s="301" t="s">
        <v>69</v>
      </c>
      <c r="C40" s="301" t="s">
        <v>70</v>
      </c>
    </row>
    <row r="41" spans="1:3">
      <c r="A41" s="56" t="str">
        <f t="shared" si="1"/>
        <v>Market Share as of today</v>
      </c>
      <c r="B41" s="301" t="s">
        <v>71</v>
      </c>
      <c r="C41" s="301" t="s">
        <v>72</v>
      </c>
    </row>
    <row r="42" spans="1:3">
      <c r="A42" s="56" t="str">
        <f t="shared" si="1"/>
        <v>Market Share as expected</v>
      </c>
      <c r="B42" s="301" t="s">
        <v>73</v>
      </c>
      <c r="C42" s="301" t="s">
        <v>74</v>
      </c>
    </row>
    <row r="43" spans="1:3">
      <c r="A43" s="56" t="str">
        <f t="shared" si="1"/>
        <v>Competitive Positioning</v>
      </c>
      <c r="B43" s="301" t="s">
        <v>75</v>
      </c>
      <c r="C43" s="301" t="s">
        <v>76</v>
      </c>
    </row>
    <row r="44" spans="1:3">
      <c r="A44" s="56" t="str">
        <f t="shared" si="1"/>
        <v xml:space="preserve">Actual </v>
      </c>
      <c r="B44" s="301" t="s">
        <v>77</v>
      </c>
      <c r="C44" s="301" t="s">
        <v>78</v>
      </c>
    </row>
    <row r="45" spans="1:3">
      <c r="A45" s="56" t="str">
        <f t="shared" si="1"/>
        <v xml:space="preserve">Target </v>
      </c>
      <c r="B45" s="301" t="s">
        <v>79</v>
      </c>
      <c r="C45" s="301" t="s">
        <v>80</v>
      </c>
    </row>
    <row r="46" spans="1:3">
      <c r="A46" s="56" t="str">
        <f t="shared" si="1"/>
        <v>Advantage</v>
      </c>
      <c r="B46" s="301" t="s">
        <v>81</v>
      </c>
      <c r="C46" s="301" t="s">
        <v>82</v>
      </c>
    </row>
    <row r="47" spans="1:3">
      <c r="A47" s="56" t="str">
        <f t="shared" si="1"/>
        <v>Disadvantage</v>
      </c>
      <c r="B47" s="301" t="s">
        <v>83</v>
      </c>
      <c r="C47" s="301" t="s">
        <v>84</v>
      </c>
    </row>
    <row r="48" spans="1:3">
      <c r="A48" s="56" t="str">
        <f t="shared" si="1"/>
        <v>Better than Competition</v>
      </c>
      <c r="B48" s="301" t="s">
        <v>85</v>
      </c>
      <c r="C48" s="301" t="s">
        <v>86</v>
      </c>
    </row>
    <row r="49" spans="1:3">
      <c r="A49" s="56" t="str">
        <f t="shared" si="1"/>
        <v>Competitive Disadvantage</v>
      </c>
      <c r="B49" s="301" t="s">
        <v>87</v>
      </c>
      <c r="C49" s="301" t="s">
        <v>88</v>
      </c>
    </row>
    <row r="50" spans="1:3">
      <c r="A50" s="56" t="str">
        <f t="shared" si="1"/>
        <v>Our Raw Weight</v>
      </c>
      <c r="B50" s="301" t="s">
        <v>89</v>
      </c>
      <c r="C50" s="301" t="s">
        <v>90</v>
      </c>
    </row>
    <row r="51" spans="1:3">
      <c r="A51" s="56" t="str">
        <f t="shared" si="1"/>
        <v>Competition Average Raw Weight</v>
      </c>
      <c r="B51" s="301" t="s">
        <v>91</v>
      </c>
      <c r="C51" s="301" t="s">
        <v>92</v>
      </c>
    </row>
    <row r="52" spans="1:3">
      <c r="A52" s="56" t="str">
        <f t="shared" si="1"/>
        <v>Our Achievement Profile</v>
      </c>
      <c r="B52" s="301" t="s">
        <v>93</v>
      </c>
      <c r="C52" s="301" t="s">
        <v>94</v>
      </c>
    </row>
    <row r="53" spans="1:3">
      <c r="A53" s="56" t="str">
        <f t="shared" si="1"/>
        <v>Competition's Achievement Profile</v>
      </c>
      <c r="B53" s="301" t="s">
        <v>95</v>
      </c>
      <c r="C53" s="301" t="s">
        <v>96</v>
      </c>
    </row>
    <row r="54" spans="1:3">
      <c r="A54" s="56" t="str">
        <f t="shared" si="1"/>
        <v>(relative to Market Strength)</v>
      </c>
      <c r="B54" s="301" t="s">
        <v>97</v>
      </c>
      <c r="C54" s="301" t="s">
        <v>98</v>
      </c>
    </row>
    <row r="55" spans="1:3">
      <c r="A55" s="56" t="str">
        <f t="shared" si="1"/>
        <v>Select Improvement Ratio</v>
      </c>
      <c r="B55" s="301" t="s">
        <v>99</v>
      </c>
      <c r="C55" s="301" t="s">
        <v>100</v>
      </c>
    </row>
    <row r="56" spans="1:3">
      <c r="A56" s="56" t="str">
        <f t="shared" si="1"/>
        <v>Our Adjusted Profile</v>
      </c>
      <c r="B56" s="301" t="s">
        <v>101</v>
      </c>
      <c r="C56" s="301" t="s">
        <v>102</v>
      </c>
    </row>
    <row r="57" spans="1:3">
      <c r="A57" s="56" t="str">
        <f t="shared" si="1"/>
        <v>Old Lanchester Profile (raw)</v>
      </c>
      <c r="B57" s="306" t="s">
        <v>103</v>
      </c>
      <c r="C57" s="306" t="s">
        <v>104</v>
      </c>
    </row>
    <row r="58" spans="1:3">
      <c r="A58" s="56" t="str">
        <f t="shared" si="1"/>
        <v>New Lanchester Profile</v>
      </c>
      <c r="B58" s="306" t="s">
        <v>105</v>
      </c>
      <c r="C58" s="306" t="s">
        <v>106</v>
      </c>
    </row>
    <row r="59" spans="1:3">
      <c r="A59" s="56" t="str">
        <f t="shared" si="1"/>
        <v>Market Signal</v>
      </c>
      <c r="B59" s="301" t="s">
        <v>107</v>
      </c>
      <c r="C59" s="301" t="s">
        <v>108</v>
      </c>
    </row>
    <row r="60" spans="1:3">
      <c r="A60" s="56" t="str">
        <f t="shared" si="1"/>
        <v>Market Preferences: Orange</v>
      </c>
      <c r="B60" s="301" t="s">
        <v>109</v>
      </c>
      <c r="C60" s="301" t="s">
        <v>110</v>
      </c>
    </row>
    <row r="61" spans="1:3">
      <c r="A61" s="56" t="str">
        <f t="shared" si="1"/>
        <v>Competitive Solution: Yellow</v>
      </c>
      <c r="B61" s="301" t="s">
        <v>111</v>
      </c>
      <c r="C61" s="301" t="s">
        <v>112</v>
      </c>
    </row>
    <row r="62" spans="1:3">
      <c r="A62" s="56" t="str">
        <f t="shared" si="1"/>
        <v>Productname: Dark Green</v>
      </c>
      <c r="B62" s="301" t="s">
        <v>113</v>
      </c>
      <c r="C62" s="301" t="s">
        <v>114</v>
      </c>
    </row>
    <row r="63" spans="1:3">
      <c r="A63" s="56" t="str">
        <f t="shared" si="1"/>
        <v>New Target Solution: Green</v>
      </c>
      <c r="B63" s="301" t="s">
        <v>115</v>
      </c>
      <c r="C63" s="301" t="s">
        <v>116</v>
      </c>
    </row>
    <row r="64" spans="1:3">
      <c r="A64" s="56" t="str">
        <f t="shared" si="1"/>
        <v>Risks</v>
      </c>
      <c r="B64" s="301" t="s">
        <v>117</v>
      </c>
      <c r="C64" s="301" t="s">
        <v>118</v>
      </c>
    </row>
    <row r="65" spans="1:3">
      <c r="A65" s="56" t="str">
        <f t="shared" si="1"/>
        <v>Opportunities</v>
      </c>
      <c r="B65" s="301" t="s">
        <v>119</v>
      </c>
      <c r="C65" s="301" t="s">
        <v>120</v>
      </c>
    </row>
    <row r="66" spans="1:3">
      <c r="A66" s="56" t="str">
        <f t="shared" si="1"/>
        <v>Risk Profile</v>
      </c>
      <c r="B66" s="301" t="s">
        <v>121</v>
      </c>
      <c r="C66" s="301" t="s">
        <v>122</v>
      </c>
    </row>
    <row r="67" spans="1:3">
      <c r="A67" s="56" t="str">
        <f t="shared" ref="A67:A99" si="2">CHOOSE(SelectLanguage,B67,C67)</f>
        <v>Management Adjustments</v>
      </c>
      <c r="B67" s="301" t="s">
        <v>123</v>
      </c>
      <c r="C67" s="301" t="s">
        <v>124</v>
      </c>
    </row>
    <row r="68" spans="1:3">
      <c r="A68" s="56" t="str">
        <f t="shared" si="2"/>
        <v>Sorted</v>
      </c>
      <c r="B68" s="301" t="s">
        <v>125</v>
      </c>
      <c r="C68" s="301" t="s">
        <v>126</v>
      </c>
    </row>
    <row r="69" spans="1:3">
      <c r="A69" s="56" t="str">
        <f t="shared" si="2"/>
        <v>Combined Profile</v>
      </c>
      <c r="B69" s="301" t="s">
        <v>127</v>
      </c>
      <c r="C69" s="301" t="s">
        <v>128</v>
      </c>
    </row>
    <row r="70" spans="1:3">
      <c r="A70" s="56" t="str">
        <f t="shared" si="2"/>
        <v>Critical To Quality</v>
      </c>
      <c r="B70" s="301" t="s">
        <v>129</v>
      </c>
      <c r="C70" s="301" t="s">
        <v>130</v>
      </c>
    </row>
    <row r="71" spans="1:3">
      <c r="A71" s="56" t="str">
        <f t="shared" si="2"/>
        <v>Deployment Combinator</v>
      </c>
      <c r="B71" s="301" t="s">
        <v>131</v>
      </c>
      <c r="C71" s="301" t="s">
        <v>132</v>
      </c>
    </row>
    <row r="72" spans="1:3">
      <c r="A72" s="56" t="str">
        <f t="shared" si="2"/>
        <v>Goal Profile</v>
      </c>
      <c r="B72" s="301" t="s">
        <v>133</v>
      </c>
      <c r="C72" s="301" t="s">
        <v>134</v>
      </c>
    </row>
    <row r="73" spans="1:3">
      <c r="A73" s="56" t="str">
        <f t="shared" si="2"/>
        <v xml:space="preserve">Achieved Profile of </v>
      </c>
      <c r="B73" s="306" t="s">
        <v>135</v>
      </c>
      <c r="C73" s="306" t="s">
        <v>136</v>
      </c>
    </row>
    <row r="74" spans="1:3">
      <c r="A74" s="56" t="str">
        <f t="shared" si="2"/>
        <v>Achieved Profile</v>
      </c>
      <c r="B74" s="306" t="s">
        <v>137</v>
      </c>
      <c r="C74" s="306" t="s">
        <v>138</v>
      </c>
    </row>
    <row r="75" spans="1:3">
      <c r="A75" s="56" t="str">
        <f t="shared" si="2"/>
        <v>Test Effectiveness</v>
      </c>
      <c r="B75" s="301" t="s">
        <v>139</v>
      </c>
      <c r="C75" s="301" t="s">
        <v>140</v>
      </c>
    </row>
    <row r="76" spans="1:3">
      <c r="A76" s="56" t="str">
        <f t="shared" si="2"/>
        <v>Effect. Deviation</v>
      </c>
      <c r="B76" s="301" t="s">
        <v>263</v>
      </c>
      <c r="C76" s="301" t="s">
        <v>140</v>
      </c>
    </row>
    <row r="77" spans="1:3">
      <c r="A77" s="56" t="str">
        <f t="shared" si="2"/>
        <v>Process Capability</v>
      </c>
      <c r="B77" s="306" t="s">
        <v>141</v>
      </c>
      <c r="C77" s="301" t="s">
        <v>142</v>
      </c>
    </row>
    <row r="78" spans="1:3">
      <c r="A78" s="56" t="str">
        <f t="shared" si="2"/>
        <v>Suitable For Measurement</v>
      </c>
      <c r="B78" s="301" t="s">
        <v>143</v>
      </c>
      <c r="C78" s="301" t="s">
        <v>144</v>
      </c>
    </row>
    <row r="79" spans="1:3">
      <c r="A79" s="56" t="str">
        <f t="shared" si="2"/>
        <v>Press here to check matrix</v>
      </c>
      <c r="B79" s="301" t="s">
        <v>145</v>
      </c>
      <c r="C79" s="301" t="s">
        <v>146</v>
      </c>
    </row>
    <row r="80" spans="1:3">
      <c r="A80" s="56" t="str">
        <f t="shared" si="2"/>
        <v>Matrix is too complicated</v>
      </c>
      <c r="B80" s="301" t="s">
        <v>147</v>
      </c>
      <c r="C80" s="301" t="s">
        <v>148</v>
      </c>
    </row>
    <row r="81" spans="1:3">
      <c r="A81" s="56" t="str">
        <f t="shared" si="2"/>
        <v>There are linear dependencies</v>
      </c>
      <c r="B81" s="301" t="s">
        <v>149</v>
      </c>
      <c r="C81" s="301" t="s">
        <v>150</v>
      </c>
    </row>
    <row r="82" spans="1:3">
      <c r="A82" s="56" t="str">
        <f t="shared" si="2"/>
        <v>Key Process Areas</v>
      </c>
      <c r="B82" s="301" t="s">
        <v>151</v>
      </c>
      <c r="C82" s="301" t="s">
        <v>152</v>
      </c>
    </row>
    <row r="83" spans="1:3">
      <c r="A83" s="56" t="str">
        <f t="shared" si="2"/>
        <v>Target Average CMM Level:</v>
      </c>
      <c r="B83" s="301" t="s">
        <v>153</v>
      </c>
      <c r="C83" s="301" t="s">
        <v>154</v>
      </c>
    </row>
    <row r="84" spans="1:3">
      <c r="A84" s="56" t="str">
        <f t="shared" si="2"/>
        <v>Actual Average CMM Level</v>
      </c>
      <c r="B84" s="301" t="s">
        <v>155</v>
      </c>
      <c r="C84" s="301" t="s">
        <v>156</v>
      </c>
    </row>
    <row r="85" spans="1:3">
      <c r="A85" s="56" t="str">
        <f t="shared" si="2"/>
        <v>Set maximum CMM level for best process:</v>
      </c>
      <c r="B85" s="301" t="s">
        <v>157</v>
      </c>
      <c r="C85" s="301" t="s">
        <v>158</v>
      </c>
    </row>
    <row r="86" spans="1:3">
      <c r="A86" s="56" t="str">
        <f t="shared" si="2"/>
        <v>Top Processes</v>
      </c>
      <c r="B86" s="301" t="s">
        <v>159</v>
      </c>
      <c r="C86" s="301" t="s">
        <v>160</v>
      </c>
    </row>
    <row r="87" spans="1:3">
      <c r="A87" s="56" t="str">
        <f t="shared" si="2"/>
        <v>Product Characteristics</v>
      </c>
      <c r="B87" s="301" t="s">
        <v>161</v>
      </c>
      <c r="C87" s="301" t="s">
        <v>162</v>
      </c>
    </row>
    <row r="88" spans="1:3">
      <c r="A88" s="56" t="str">
        <f t="shared" si="2"/>
        <v>Business Scenarios</v>
      </c>
      <c r="B88" s="301" t="s">
        <v>163</v>
      </c>
      <c r="C88" s="301" t="s">
        <v>164</v>
      </c>
    </row>
    <row r="89" spans="1:3">
      <c r="A89" s="56" t="str">
        <f t="shared" si="2"/>
        <v>Features</v>
      </c>
      <c r="B89" s="301" t="s">
        <v>165</v>
      </c>
      <c r="C89" s="301" t="s">
        <v>166</v>
      </c>
    </row>
    <row r="90" spans="1:3">
      <c r="A90" s="56" t="str">
        <f t="shared" si="2"/>
        <v>With New Product</v>
      </c>
      <c r="B90" s="301" t="s">
        <v>167</v>
      </c>
      <c r="C90" s="301" t="s">
        <v>168</v>
      </c>
    </row>
    <row r="91" spans="1:3">
      <c r="A91" s="56" t="str">
        <f t="shared" si="2"/>
        <v xml:space="preserve">Perceived </v>
      </c>
      <c r="B91" s="301" t="s">
        <v>169</v>
      </c>
      <c r="C91" s="301" t="s">
        <v>170</v>
      </c>
    </row>
    <row r="92" spans="1:3">
      <c r="A92" s="56" t="str">
        <f t="shared" si="2"/>
        <v xml:space="preserve"> Strength</v>
      </c>
      <c r="B92" s="301" t="s">
        <v>171</v>
      </c>
      <c r="C92" s="301" t="s">
        <v>172</v>
      </c>
    </row>
    <row r="93" spans="1:3">
      <c r="A93" s="56" t="str">
        <f t="shared" si="2"/>
        <v>Expected</v>
      </c>
      <c r="B93" s="301" t="s">
        <v>173</v>
      </c>
      <c r="C93" s="301" t="s">
        <v>174</v>
      </c>
    </row>
    <row r="94" spans="1:3">
      <c r="A94" s="56" t="str">
        <f t="shared" si="2"/>
        <v>Manual Entry</v>
      </c>
      <c r="B94" s="301" t="s">
        <v>175</v>
      </c>
      <c r="C94" s="301" t="s">
        <v>176</v>
      </c>
    </row>
    <row r="95" spans="1:3">
      <c r="A95" s="56" t="str">
        <f t="shared" si="2"/>
        <v>Feature Test Methods</v>
      </c>
      <c r="B95" s="301" t="s">
        <v>177</v>
      </c>
      <c r="C95" s="301" t="s">
        <v>178</v>
      </c>
    </row>
    <row r="96" spans="1:3">
      <c r="A96" s="56" t="str">
        <f t="shared" si="2"/>
        <v>Priority</v>
      </c>
      <c r="B96" s="301" t="s">
        <v>179</v>
      </c>
      <c r="C96" s="301" t="s">
        <v>180</v>
      </c>
    </row>
    <row r="97" spans="1:3">
      <c r="A97" s="56" t="str">
        <f t="shared" si="2"/>
        <v>Gap</v>
      </c>
      <c r="B97" s="306" t="s">
        <v>181</v>
      </c>
      <c r="C97" s="306" t="s">
        <v>182</v>
      </c>
    </row>
    <row r="98" spans="1:3">
      <c r="A98" s="56" t="str">
        <f t="shared" si="2"/>
        <v>Functionality (CFP) covered</v>
      </c>
      <c r="B98" s="301" t="s">
        <v>183</v>
      </c>
      <c r="C98" s="301" t="s">
        <v>184</v>
      </c>
    </row>
    <row r="99" spans="1:3">
      <c r="A99" s="56" t="str">
        <f t="shared" si="2"/>
        <v>Defects found</v>
      </c>
      <c r="B99" s="301" t="s">
        <v>319</v>
      </c>
      <c r="C99" s="301" t="s">
        <v>185</v>
      </c>
    </row>
    <row r="100" spans="1:3">
      <c r="A100" s="56" t="str">
        <f t="shared" ref="A100:A146" si="3">CHOOSE(SelectLanguage,B100,C100)</f>
        <v>Defects per 100 CFP</v>
      </c>
      <c r="B100" s="301" t="s">
        <v>320</v>
      </c>
      <c r="C100" s="301" t="s">
        <v>186</v>
      </c>
    </row>
    <row r="101" spans="1:3">
      <c r="A101" s="56" t="str">
        <f t="shared" si="3"/>
        <v>Defect Profile</v>
      </c>
      <c r="B101" s="301" t="s">
        <v>321</v>
      </c>
      <c r="C101" s="301" t="s">
        <v>187</v>
      </c>
    </row>
    <row r="102" spans="1:3">
      <c r="A102" s="56" t="str">
        <f t="shared" si="3"/>
        <v>Goal Test Coverage</v>
      </c>
      <c r="B102" s="301" t="s">
        <v>188</v>
      </c>
      <c r="C102" s="301" t="s">
        <v>189</v>
      </c>
    </row>
    <row r="103" spans="1:3">
      <c r="A103" s="56" t="str">
        <f t="shared" si="3"/>
        <v>Achieved Coverage</v>
      </c>
      <c r="B103" s="301" t="s">
        <v>347</v>
      </c>
      <c r="C103" s="301" t="s">
        <v>190</v>
      </c>
    </row>
    <row r="104" spans="1:3">
      <c r="A104" s="56" t="str">
        <f t="shared" si="3"/>
        <v>Measured Coverage</v>
      </c>
      <c r="B104" s="301" t="s">
        <v>191</v>
      </c>
      <c r="C104" s="301" t="s">
        <v>192</v>
      </c>
    </row>
    <row r="105" spans="1:3">
      <c r="A105" s="56" t="str">
        <f t="shared" si="3"/>
        <v>Measured</v>
      </c>
      <c r="B105" s="306" t="s">
        <v>193</v>
      </c>
      <c r="C105" s="306" t="s">
        <v>194</v>
      </c>
    </row>
    <row r="106" spans="1:3">
      <c r="A106" s="56" t="str">
        <f t="shared" si="3"/>
        <v>Application Test Methods</v>
      </c>
      <c r="B106" s="301" t="s">
        <v>195</v>
      </c>
      <c r="C106" s="301" t="s">
        <v>196</v>
      </c>
    </row>
    <row r="107" spans="1:3">
      <c r="A107" s="56" t="str">
        <f t="shared" si="3"/>
        <v>Requirement</v>
      </c>
      <c r="B107" s="301" t="s">
        <v>197</v>
      </c>
      <c r="C107" s="301" t="s">
        <v>198</v>
      </c>
    </row>
    <row r="108" spans="1:3">
      <c r="A108" s="56" t="str">
        <f t="shared" si="3"/>
        <v>Acceptance Test Methods</v>
      </c>
      <c r="B108" s="301" t="s">
        <v>199</v>
      </c>
      <c r="C108" s="301" t="s">
        <v>200</v>
      </c>
    </row>
    <row r="109" spans="1:3">
      <c r="A109" s="56" t="str">
        <f t="shared" si="3"/>
        <v>Test Case Identifier</v>
      </c>
      <c r="B109" s="301" t="s">
        <v>201</v>
      </c>
      <c r="C109" s="301" t="s">
        <v>202</v>
      </c>
    </row>
    <row r="110" spans="1:3">
      <c r="A110" s="56" t="str">
        <f t="shared" si="3"/>
        <v>Ideal Profile</v>
      </c>
      <c r="B110" s="301" t="s">
        <v>203</v>
      </c>
      <c r="C110" s="301" t="s">
        <v>204</v>
      </c>
    </row>
    <row r="111" spans="1:3">
      <c r="A111" s="56" t="str">
        <f t="shared" si="3"/>
        <v>Cost</v>
      </c>
      <c r="B111" s="301" t="s">
        <v>205</v>
      </c>
      <c r="C111" s="301" t="s">
        <v>206</v>
      </c>
    </row>
    <row r="112" spans="1:3">
      <c r="A112" s="56" t="str">
        <f t="shared" si="3"/>
        <v>dependent from Function Points</v>
      </c>
      <c r="B112" s="301" t="s">
        <v>207</v>
      </c>
      <c r="C112" s="301" t="s">
        <v>208</v>
      </c>
    </row>
    <row r="113" spans="1:3">
      <c r="A113" s="56" t="str">
        <f t="shared" si="3"/>
        <v>Cost Profile</v>
      </c>
      <c r="B113" s="306" t="s">
        <v>209</v>
      </c>
      <c r="C113" s="301" t="s">
        <v>210</v>
      </c>
    </row>
    <row r="114" spans="1:3">
      <c r="A114" s="56" t="str">
        <f t="shared" si="3"/>
        <v>Kano Analysis</v>
      </c>
      <c r="B114" s="301" t="s">
        <v>211</v>
      </c>
      <c r="C114" s="306" t="s">
        <v>266</v>
      </c>
    </row>
    <row r="115" spans="1:3">
      <c r="A115" s="56" t="str">
        <f t="shared" si="3"/>
        <v>Kano Profile</v>
      </c>
      <c r="B115" s="306" t="s">
        <v>264</v>
      </c>
      <c r="C115" s="367" t="s">
        <v>265</v>
      </c>
    </row>
    <row r="116" spans="1:3">
      <c r="A116" s="56" t="str">
        <f t="shared" si="3"/>
        <v>AHP Analyse</v>
      </c>
      <c r="B116" s="301" t="s">
        <v>267</v>
      </c>
      <c r="C116" s="301" t="s">
        <v>267</v>
      </c>
    </row>
    <row r="117" spans="1:3">
      <c r="A117" s="56" t="str">
        <f t="shared" si="3"/>
        <v>AHP Priorities</v>
      </c>
      <c r="B117" s="301" t="s">
        <v>348</v>
      </c>
      <c r="C117" s="301" t="s">
        <v>349</v>
      </c>
    </row>
    <row r="118" spans="1:3">
      <c r="A118" s="56" t="str">
        <f t="shared" si="3"/>
        <v>Ranking</v>
      </c>
      <c r="B118" s="301" t="s">
        <v>350</v>
      </c>
      <c r="C118" s="301" t="s">
        <v>351</v>
      </c>
    </row>
    <row r="119" spans="1:3">
      <c r="A119" s="56" t="str">
        <f t="shared" si="3"/>
        <v>Functional Sizing</v>
      </c>
      <c r="B119" s="367" t="s">
        <v>212</v>
      </c>
      <c r="C119" s="367" t="s">
        <v>213</v>
      </c>
    </row>
    <row r="120" spans="1:3">
      <c r="A120" s="56" t="str">
        <f t="shared" si="3"/>
        <v>Response Profile</v>
      </c>
      <c r="B120" s="367" t="s">
        <v>214</v>
      </c>
      <c r="C120" s="367" t="s">
        <v>215</v>
      </c>
    </row>
    <row r="121" spans="1:3">
      <c r="A121" s="56" t="str">
        <f t="shared" si="3"/>
        <v>Explained Profile</v>
      </c>
      <c r="B121" s="367" t="s">
        <v>216</v>
      </c>
      <c r="C121" s="306" t="s">
        <v>217</v>
      </c>
    </row>
    <row r="122" spans="1:3">
      <c r="A122" s="56" t="str">
        <f>CHOOSE(SelectLanguage,B122,C122)</f>
        <v>Measurement Confidence</v>
      </c>
      <c r="B122" s="367" t="s">
        <v>232</v>
      </c>
      <c r="C122" s="306" t="s">
        <v>233</v>
      </c>
    </row>
    <row r="123" spans="1:3">
      <c r="A123" s="56" t="str">
        <f>CHOOSE(SelectLanguage,B123,C123)</f>
        <v>Percentile</v>
      </c>
      <c r="B123" s="367" t="s">
        <v>234</v>
      </c>
      <c r="C123" s="306" t="s">
        <v>235</v>
      </c>
    </row>
    <row r="124" spans="1:3">
      <c r="A124" s="56" t="str">
        <f t="shared" si="3"/>
        <v>Yes</v>
      </c>
      <c r="B124" s="367" t="s">
        <v>218</v>
      </c>
      <c r="C124" s="367" t="s">
        <v>219</v>
      </c>
    </row>
    <row r="125" spans="1:3">
      <c r="A125" s="56" t="str">
        <f t="shared" si="3"/>
        <v>No</v>
      </c>
      <c r="B125" s="367" t="s">
        <v>220</v>
      </c>
      <c r="C125" s="367" t="s">
        <v>221</v>
      </c>
    </row>
    <row r="126" spans="1:3">
      <c r="A126" s="56" t="str">
        <f t="shared" si="3"/>
        <v>Call back -&gt; Customer enthusiastic</v>
      </c>
      <c r="B126" s="367" t="s">
        <v>222</v>
      </c>
      <c r="C126" s="306" t="s">
        <v>223</v>
      </c>
    </row>
    <row r="127" spans="1:3">
      <c r="A127" s="56" t="str">
        <f t="shared" si="3"/>
        <v>Call back -&gt; Customer happy</v>
      </c>
      <c r="B127" s="367" t="s">
        <v>224</v>
      </c>
      <c r="C127" s="306" t="s">
        <v>225</v>
      </c>
    </row>
    <row r="128" spans="1:3">
      <c r="A128" s="56" t="str">
        <f t="shared" si="3"/>
        <v>Call back -&gt; Customer satisfied</v>
      </c>
      <c r="B128" s="367" t="s">
        <v>226</v>
      </c>
      <c r="C128" s="306" t="s">
        <v>227</v>
      </c>
    </row>
    <row r="129" spans="1:3">
      <c r="A129" s="56" t="str">
        <f t="shared" si="3"/>
        <v>Call back -&gt; Escalation done</v>
      </c>
      <c r="B129" s="367" t="s">
        <v>228</v>
      </c>
      <c r="C129" s="306" t="s">
        <v>229</v>
      </c>
    </row>
    <row r="130" spans="1:3">
      <c r="A130" s="56" t="str">
        <f t="shared" si="3"/>
        <v>No action taken</v>
      </c>
      <c r="B130" s="367" t="s">
        <v>230</v>
      </c>
      <c r="C130" s="306" t="s">
        <v>231</v>
      </c>
    </row>
    <row r="131" spans="1:3">
      <c r="A131" s="56" t="str">
        <f t="shared" si="3"/>
        <v>L0 All Fine!</v>
      </c>
      <c r="B131" s="301" t="s">
        <v>271</v>
      </c>
      <c r="C131" s="306" t="s">
        <v>273</v>
      </c>
    </row>
    <row r="132" spans="1:3">
      <c r="A132" s="56" t="str">
        <f t="shared" si="3"/>
        <v>L1 Wish</v>
      </c>
      <c r="B132" s="301" t="s">
        <v>272</v>
      </c>
      <c r="C132" s="306" t="s">
        <v>274</v>
      </c>
    </row>
    <row r="133" spans="1:3">
      <c r="A133" s="56" t="str">
        <f t="shared" si="3"/>
        <v>L2 Minor</v>
      </c>
      <c r="B133" s="301" t="s">
        <v>287</v>
      </c>
      <c r="C133" s="306" t="s">
        <v>291</v>
      </c>
    </row>
    <row r="134" spans="1:3">
      <c r="A134" s="56" t="str">
        <f t="shared" si="3"/>
        <v>L3 Important</v>
      </c>
      <c r="B134" s="301" t="s">
        <v>288</v>
      </c>
      <c r="C134" s="306" t="s">
        <v>292</v>
      </c>
    </row>
    <row r="135" spans="1:3">
      <c r="A135" s="56" t="str">
        <f t="shared" si="3"/>
        <v>L4 Major</v>
      </c>
      <c r="B135" s="301" t="s">
        <v>289</v>
      </c>
      <c r="C135" s="306" t="s">
        <v>293</v>
      </c>
    </row>
    <row r="136" spans="1:3">
      <c r="A136" s="56" t="str">
        <f t="shared" si="3"/>
        <v>L5 Fatal</v>
      </c>
      <c r="B136" s="301" t="s">
        <v>290</v>
      </c>
      <c r="C136" s="306" t="s">
        <v>290</v>
      </c>
    </row>
    <row r="137" spans="1:3">
      <c r="A137" s="56" t="str">
        <f>CHOOSE(SelectLanguage,B137,C137)</f>
        <v>Confirmed</v>
      </c>
      <c r="B137" s="306" t="s">
        <v>285</v>
      </c>
      <c r="C137" s="306" t="s">
        <v>286</v>
      </c>
    </row>
    <row r="138" spans="1:3">
      <c r="A138" s="56" t="str">
        <f>CHOOSE(SelectLanguage,B138,C138)</f>
        <v>Waiting</v>
      </c>
      <c r="B138" s="301" t="s">
        <v>279</v>
      </c>
      <c r="C138" s="306" t="s">
        <v>284</v>
      </c>
    </row>
    <row r="139" spans="1:3">
      <c r="A139" s="56" t="str">
        <f>CHOOSE(SelectLanguage,B139,C139)</f>
        <v>Deferred</v>
      </c>
      <c r="B139" s="301" t="s">
        <v>278</v>
      </c>
      <c r="C139" s="306" t="s">
        <v>283</v>
      </c>
    </row>
    <row r="140" spans="1:3">
      <c r="A140" s="56" t="str">
        <f>CHOOSE(SelectLanguage,B140,C140)</f>
        <v>In Progress</v>
      </c>
      <c r="B140" s="301" t="s">
        <v>277</v>
      </c>
      <c r="C140" s="306" t="s">
        <v>282</v>
      </c>
    </row>
    <row r="141" spans="1:3">
      <c r="A141" s="56" t="str">
        <f t="shared" si="3"/>
        <v>Under Test</v>
      </c>
      <c r="B141" s="301" t="s">
        <v>276</v>
      </c>
      <c r="C141" s="306" t="s">
        <v>281</v>
      </c>
    </row>
    <row r="142" spans="1:3">
      <c r="A142" s="56" t="str">
        <f>CHOOSE(SelectLanguage,B142,C142)</f>
        <v>Resolved</v>
      </c>
      <c r="B142" s="301" t="s">
        <v>275</v>
      </c>
      <c r="C142" s="306" t="s">
        <v>280</v>
      </c>
    </row>
    <row r="143" spans="1:3">
      <c r="A143" s="56" t="str">
        <f t="shared" si="3"/>
        <v>Name</v>
      </c>
      <c r="B143" s="301" t="s">
        <v>241</v>
      </c>
      <c r="C143" s="306" t="s">
        <v>241</v>
      </c>
    </row>
    <row r="144" spans="1:3">
      <c r="A144" s="56" t="str">
        <f t="shared" si="3"/>
        <v>Label</v>
      </c>
      <c r="B144" s="301" t="s">
        <v>242</v>
      </c>
      <c r="C144" s="306" t="s">
        <v>303</v>
      </c>
    </row>
    <row r="145" spans="1:3">
      <c r="A145" s="56" t="str">
        <f t="shared" si="3"/>
        <v>Description</v>
      </c>
      <c r="B145" s="301" t="s">
        <v>270</v>
      </c>
      <c r="C145" s="306" t="s">
        <v>304</v>
      </c>
    </row>
    <row r="146" spans="1:3">
      <c r="A146" s="56" t="str">
        <f t="shared" si="3"/>
        <v>Defect Identification</v>
      </c>
      <c r="B146" s="301" t="s">
        <v>323</v>
      </c>
      <c r="C146" s="306" t="s">
        <v>324</v>
      </c>
    </row>
    <row r="147" spans="1:3">
      <c r="A147" s="56" t="str">
        <f>CHOOSE(SelectLanguage,B147,C147)</f>
        <v>Defect Recording</v>
      </c>
      <c r="B147" s="301" t="s">
        <v>314</v>
      </c>
      <c r="C147" s="306" t="s">
        <v>302</v>
      </c>
    </row>
    <row r="148" spans="1:3">
      <c r="A148" s="56" t="str">
        <f t="shared" ref="A148:A211" si="4">CHOOSE(SelectLanguage,B148,C148)</f>
        <v>Defect Class</v>
      </c>
      <c r="B148" s="301" t="s">
        <v>315</v>
      </c>
      <c r="C148" s="306" t="s">
        <v>305</v>
      </c>
    </row>
    <row r="149" spans="1:3">
      <c r="A149" s="56" t="str">
        <f t="shared" si="4"/>
        <v>Defect Status</v>
      </c>
      <c r="B149" s="301" t="s">
        <v>316</v>
      </c>
      <c r="C149" s="306" t="s">
        <v>306</v>
      </c>
    </row>
    <row r="150" spans="1:3">
      <c r="A150" s="56" t="str">
        <f t="shared" si="4"/>
        <v>Defect Count</v>
      </c>
      <c r="B150" s="301" t="s">
        <v>325</v>
      </c>
      <c r="C150" s="306" t="s">
        <v>326</v>
      </c>
    </row>
    <row r="151" spans="1:3">
      <c r="A151" s="56" t="str">
        <f t="shared" si="4"/>
        <v>Defect Density</v>
      </c>
      <c r="B151" s="306" t="s">
        <v>331</v>
      </c>
      <c r="C151" s="306" t="s">
        <v>332</v>
      </c>
    </row>
    <row r="152" spans="1:3">
      <c r="A152" s="56" t="str">
        <f t="shared" si="4"/>
        <v>Defect Resolution</v>
      </c>
      <c r="B152" s="301" t="s">
        <v>317</v>
      </c>
      <c r="C152" s="306" t="s">
        <v>307</v>
      </c>
    </row>
    <row r="153" spans="1:3">
      <c r="A153" s="56" t="str">
        <f t="shared" si="4"/>
        <v>Developer's Comments</v>
      </c>
      <c r="B153" s="301" t="s">
        <v>269</v>
      </c>
      <c r="C153" s="306" t="s">
        <v>308</v>
      </c>
    </row>
    <row r="154" spans="1:3">
      <c r="A154" s="56" t="str">
        <f t="shared" si="4"/>
        <v>Test Cases</v>
      </c>
      <c r="B154" s="306" t="s">
        <v>301</v>
      </c>
      <c r="C154" s="306" t="s">
        <v>309</v>
      </c>
    </row>
    <row r="155" spans="1:3">
      <c r="A155" s="56" t="str">
        <f t="shared" si="4"/>
        <v>Executing this Data Movement</v>
      </c>
      <c r="B155" s="306" t="s">
        <v>313</v>
      </c>
      <c r="C155" s="306" t="s">
        <v>352</v>
      </c>
    </row>
    <row r="156" spans="1:3">
      <c r="A156" s="56" t="str">
        <f t="shared" si="4"/>
        <v>Detecting Defects</v>
      </c>
      <c r="B156" s="306" t="s">
        <v>322</v>
      </c>
      <c r="C156" s="306" t="s">
        <v>310</v>
      </c>
    </row>
    <row r="157" spans="1:3">
      <c r="A157" s="56" t="str">
        <f t="shared" si="4"/>
        <v>Defects Observed</v>
      </c>
      <c r="B157" s="306" t="s">
        <v>318</v>
      </c>
      <c r="C157" s="306" t="s">
        <v>312</v>
      </c>
    </row>
    <row r="158" spans="1:3">
      <c r="A158" s="56" t="str">
        <f t="shared" si="4"/>
        <v>Defects Found in Total</v>
      </c>
      <c r="B158" s="306" t="s">
        <v>329</v>
      </c>
      <c r="C158" s="306" t="s">
        <v>330</v>
      </c>
    </row>
    <row r="159" spans="1:3">
      <c r="A159" s="56" t="str">
        <f t="shared" si="4"/>
        <v>Defects Pending for Removal</v>
      </c>
      <c r="B159" s="306" t="s">
        <v>327</v>
      </c>
      <c r="C159" s="306" t="s">
        <v>328</v>
      </c>
    </row>
    <row r="160" spans="1:3">
      <c r="A160" s="56" t="str">
        <f t="shared" si="4"/>
        <v>Data Movements Affected</v>
      </c>
      <c r="B160" s="306" t="s">
        <v>311</v>
      </c>
      <c r="C160" s="306" t="s">
        <v>353</v>
      </c>
    </row>
    <row r="161" spans="1:3">
      <c r="A161" s="56" t="str">
        <f t="shared" si="4"/>
        <v>Data Movements in Total</v>
      </c>
      <c r="B161" s="306" t="s">
        <v>333</v>
      </c>
      <c r="C161" s="306" t="s">
        <v>354</v>
      </c>
    </row>
    <row r="162" spans="1:3">
      <c r="A162" s="56" t="str">
        <f t="shared" si="4"/>
        <v>Data Movements Covered by Test Cases</v>
      </c>
      <c r="B162" s="306" t="s">
        <v>334</v>
      </c>
      <c r="C162" s="301" t="s">
        <v>355</v>
      </c>
    </row>
    <row r="163" spans="1:3">
      <c r="A163" s="56" t="str">
        <f t="shared" si="4"/>
        <v>Test Size</v>
      </c>
      <c r="B163" s="306" t="s">
        <v>335</v>
      </c>
      <c r="C163" s="301" t="s">
        <v>336</v>
      </c>
    </row>
    <row r="164" spans="1:3">
      <c r="A164" s="56" t="str">
        <f t="shared" si="4"/>
        <v>Test Intensity</v>
      </c>
      <c r="B164" s="306" t="s">
        <v>337</v>
      </c>
      <c r="C164" s="301" t="s">
        <v>338</v>
      </c>
    </row>
    <row r="165" spans="1:3">
      <c r="A165" s="56" t="str">
        <f t="shared" si="4"/>
        <v>Test Coverage</v>
      </c>
      <c r="B165" s="306" t="s">
        <v>268</v>
      </c>
      <c r="C165" s="301" t="s">
        <v>339</v>
      </c>
    </row>
    <row r="166" spans="1:3">
      <c r="A166" s="56" t="str">
        <f t="shared" si="4"/>
        <v>Test Status Summary</v>
      </c>
      <c r="B166" s="306" t="s">
        <v>340</v>
      </c>
      <c r="C166" s="306" t="s">
        <v>356</v>
      </c>
    </row>
    <row r="167" spans="1:3">
      <c r="A167" s="56" t="str">
        <f t="shared" si="4"/>
        <v>Importance</v>
      </c>
      <c r="B167" s="306" t="s">
        <v>357</v>
      </c>
      <c r="C167" s="306" t="s">
        <v>358</v>
      </c>
    </row>
    <row r="168" spans="1:3">
      <c r="A168" s="56" t="str">
        <f t="shared" si="4"/>
        <v>Satisfaction</v>
      </c>
      <c r="B168" s="306" t="s">
        <v>359</v>
      </c>
      <c r="C168" s="306" t="s">
        <v>360</v>
      </c>
    </row>
    <row r="169" spans="1:3">
      <c r="A169" s="56" t="str">
        <f t="shared" si="4"/>
        <v>Transfer Function</v>
      </c>
      <c r="B169" s="306" t="s">
        <v>361</v>
      </c>
      <c r="C169" s="306" t="s">
        <v>362</v>
      </c>
    </row>
    <row r="170" spans="1:3">
      <c r="A170" s="56" t="str">
        <f t="shared" si="4"/>
        <v>Combined from NPS Survey</v>
      </c>
      <c r="B170" s="306" t="s">
        <v>363</v>
      </c>
      <c r="C170" s="306" t="s">
        <v>364</v>
      </c>
    </row>
    <row r="171" spans="1:3">
      <c r="A171" s="56" t="str">
        <f t="shared" si="4"/>
        <v>Overall NPS</v>
      </c>
      <c r="B171" s="306" t="s">
        <v>365</v>
      </c>
      <c r="C171" s="306" t="s">
        <v>366</v>
      </c>
    </row>
    <row r="172" spans="1:3">
      <c r="A172" s="56" t="str">
        <f t="shared" si="4"/>
        <v>VoC Input</v>
      </c>
      <c r="B172" s="306" t="s">
        <v>367</v>
      </c>
      <c r="C172" s="306" t="s">
        <v>368</v>
      </c>
    </row>
    <row r="173" spans="1:3">
      <c r="A173" s="56" t="str">
        <f t="shared" si="4"/>
        <v>Current Status</v>
      </c>
      <c r="B173" s="306" t="s">
        <v>369</v>
      </c>
      <c r="C173" s="306" t="s">
        <v>370</v>
      </c>
    </row>
    <row r="174" spans="1:3">
      <c r="A174" s="56" t="str">
        <f t="shared" si="4"/>
        <v>Planned Status</v>
      </c>
      <c r="B174" s="306" t="s">
        <v>371</v>
      </c>
      <c r="C174" s="306" t="s">
        <v>372</v>
      </c>
    </row>
    <row r="175" spans="1:3">
      <c r="A175" s="56" t="str">
        <f t="shared" si="4"/>
        <v>Improvement Factor</v>
      </c>
      <c r="B175" s="306" t="s">
        <v>373</v>
      </c>
      <c r="C175" s="306" t="s">
        <v>374</v>
      </c>
    </row>
    <row r="176" spans="1:3">
      <c r="A176" s="56" t="str">
        <f t="shared" si="4"/>
        <v>Sales Points</v>
      </c>
      <c r="B176" s="306" t="s">
        <v>375</v>
      </c>
      <c r="C176" s="306" t="s">
        <v>376</v>
      </c>
    </row>
    <row r="177" spans="1:3">
      <c r="A177" s="56" t="str">
        <f t="shared" si="4"/>
        <v>Importance Weight</v>
      </c>
      <c r="B177" s="306" t="s">
        <v>377</v>
      </c>
      <c r="C177" s="306" t="s">
        <v>378</v>
      </c>
    </row>
    <row r="178" spans="1:3">
      <c r="A178" s="56" t="str">
        <f t="shared" si="4"/>
        <v>Planning Profile</v>
      </c>
      <c r="B178" s="306" t="s">
        <v>379</v>
      </c>
      <c r="C178" s="306" t="s">
        <v>380</v>
      </c>
    </row>
    <row r="179" spans="1:3">
      <c r="A179" s="56" t="str">
        <f t="shared" si="4"/>
        <v>AHP Summary</v>
      </c>
      <c r="B179" s="306" t="s">
        <v>381</v>
      </c>
      <c r="C179" s="306" t="s">
        <v>382</v>
      </c>
    </row>
    <row r="180" spans="1:3">
      <c r="A180" s="56" t="str">
        <f t="shared" si="4"/>
        <v>Local</v>
      </c>
      <c r="B180" s="306" t="s">
        <v>383</v>
      </c>
      <c r="C180" s="306" t="s">
        <v>384</v>
      </c>
    </row>
    <row r="181" spans="1:3">
      <c r="A181" s="56" t="str">
        <f t="shared" si="4"/>
        <v>Global</v>
      </c>
      <c r="B181" s="306" t="s">
        <v>385</v>
      </c>
      <c r="C181" s="306" t="s">
        <v>385</v>
      </c>
    </row>
    <row r="182" spans="1:3">
      <c r="A182" s="56" t="str">
        <f t="shared" si="4"/>
        <v>Effort</v>
      </c>
      <c r="B182" s="306" t="s">
        <v>387</v>
      </c>
      <c r="C182" s="306" t="s">
        <v>388</v>
      </c>
    </row>
    <row r="183" spans="1:3">
      <c r="A183" s="56" t="str">
        <f t="shared" si="4"/>
        <v>Interface to COSMIC Count</v>
      </c>
      <c r="B183" s="306" t="s">
        <v>239</v>
      </c>
      <c r="C183" s="306" t="s">
        <v>389</v>
      </c>
    </row>
    <row r="184" spans="1:3">
      <c r="A184" s="56" t="str">
        <f t="shared" si="4"/>
        <v>Interface to Goal Profile</v>
      </c>
      <c r="B184" s="306" t="s">
        <v>390</v>
      </c>
      <c r="C184" s="306" t="s">
        <v>391</v>
      </c>
    </row>
    <row r="185" spans="1:3">
      <c r="A185" s="56" t="str">
        <f t="shared" si="4"/>
        <v>Development Team</v>
      </c>
      <c r="B185" s="306" t="s">
        <v>392</v>
      </c>
      <c r="C185" s="306" t="s">
        <v>393</v>
      </c>
    </row>
    <row r="186" spans="1:3">
      <c r="A186" s="56" t="str">
        <f t="shared" si="4"/>
        <v>Nickname</v>
      </c>
      <c r="B186" s="306" t="s">
        <v>394</v>
      </c>
      <c r="C186" s="306" t="s">
        <v>395</v>
      </c>
    </row>
    <row r="187" spans="1:3">
      <c r="A187" s="56" t="str">
        <f t="shared" si="4"/>
        <v>Full Name</v>
      </c>
      <c r="B187" s="306" t="s">
        <v>396</v>
      </c>
      <c r="C187" s="306" t="s">
        <v>397</v>
      </c>
    </row>
    <row r="188" spans="1:3">
      <c r="A188" s="56" t="str">
        <f t="shared" si="4"/>
        <v>e-Mail</v>
      </c>
      <c r="B188" s="306" t="s">
        <v>398</v>
      </c>
      <c r="C188" s="306" t="s">
        <v>399</v>
      </c>
    </row>
    <row r="189" spans="1:3">
      <c r="A189" s="56" t="str">
        <f t="shared" si="4"/>
        <v>Role</v>
      </c>
      <c r="B189" s="306" t="s">
        <v>400</v>
      </c>
      <c r="C189" s="306" t="s">
        <v>401</v>
      </c>
    </row>
    <row r="190" spans="1:3">
      <c r="A190" s="56" t="str">
        <f t="shared" si="4"/>
        <v>Sponsors &amp; Stakeholders</v>
      </c>
      <c r="B190" s="306" t="s">
        <v>402</v>
      </c>
      <c r="C190" s="306" t="s">
        <v>403</v>
      </c>
    </row>
    <row r="191" spans="1:3">
      <c r="A191" s="56" t="str">
        <f t="shared" si="4"/>
        <v>not taking story cards</v>
      </c>
      <c r="B191" s="306" t="s">
        <v>404</v>
      </c>
      <c r="C191" s="306" t="s">
        <v>405</v>
      </c>
    </row>
    <row r="192" spans="1:3">
      <c r="A192" s="56" t="str">
        <f t="shared" si="4"/>
        <v>Responsible</v>
      </c>
      <c r="B192" s="306" t="s">
        <v>406</v>
      </c>
      <c r="C192" s="306" t="s">
        <v>407</v>
      </c>
    </row>
    <row r="193" spans="1:3">
      <c r="A193" s="56" t="str">
        <f t="shared" si="4"/>
        <v>Scheduled for</v>
      </c>
      <c r="B193" s="306" t="s">
        <v>408</v>
      </c>
      <c r="C193" s="306" t="s">
        <v>409</v>
      </c>
    </row>
    <row r="194" spans="1:3">
      <c r="A194" s="56" t="str">
        <f t="shared" si="4"/>
        <v>Developer</v>
      </c>
      <c r="B194" s="306" t="s">
        <v>410</v>
      </c>
      <c r="C194" s="306" t="s">
        <v>411</v>
      </c>
    </row>
    <row r="195" spans="1:3">
      <c r="A195" s="56" t="str">
        <f t="shared" si="4"/>
        <v>Data Movement</v>
      </c>
      <c r="B195" s="306" t="s">
        <v>412</v>
      </c>
      <c r="C195" s="306" t="s">
        <v>413</v>
      </c>
    </row>
    <row r="196" spans="1:3">
      <c r="A196" s="56" t="str">
        <f t="shared" si="4"/>
        <v>Functional Coverage</v>
      </c>
      <c r="B196" s="306" t="s">
        <v>414</v>
      </c>
      <c r="C196" s="306" t="s">
        <v>415</v>
      </c>
    </row>
    <row r="197" spans="1:3">
      <c r="A197" s="56" t="str">
        <f t="shared" si="4"/>
        <v xml:space="preserve">Impact on </v>
      </c>
      <c r="B197" s="306" t="s">
        <v>416</v>
      </c>
      <c r="C197" s="306" t="s">
        <v>417</v>
      </c>
    </row>
    <row r="198" spans="1:3">
      <c r="A198" s="56" t="str">
        <f t="shared" si="4"/>
        <v>Six Steps to Completion</v>
      </c>
      <c r="B198" s="306" t="s">
        <v>418</v>
      </c>
      <c r="C198" s="306" t="s">
        <v>419</v>
      </c>
    </row>
    <row r="199" spans="1:3">
      <c r="A199" s="56" t="str">
        <f t="shared" si="4"/>
        <v>Test ready</v>
      </c>
      <c r="B199" s="306" t="s">
        <v>420</v>
      </c>
      <c r="C199" s="306" t="s">
        <v>421</v>
      </c>
    </row>
    <row r="200" spans="1:3">
      <c r="A200" s="56" t="str">
        <f t="shared" si="4"/>
        <v>Draft ready</v>
      </c>
      <c r="B200" s="306" t="s">
        <v>422</v>
      </c>
      <c r="C200" s="306" t="s">
        <v>423</v>
      </c>
    </row>
    <row r="201" spans="1:3">
      <c r="A201" s="56" t="str">
        <f t="shared" si="4"/>
        <v>Review done</v>
      </c>
      <c r="B201" s="306" t="s">
        <v>424</v>
      </c>
      <c r="C201" s="306" t="s">
        <v>425</v>
      </c>
    </row>
    <row r="202" spans="1:3">
      <c r="A202" s="56" t="str">
        <f t="shared" si="4"/>
        <v>Finalized</v>
      </c>
      <c r="B202" s="306" t="s">
        <v>426</v>
      </c>
      <c r="C202" s="306" t="s">
        <v>427</v>
      </c>
    </row>
    <row r="203" spans="1:3">
      <c r="A203" s="56" t="str">
        <f t="shared" si="4"/>
        <v>Approved</v>
      </c>
      <c r="B203" s="306" t="s">
        <v>428</v>
      </c>
      <c r="C203" s="306" t="s">
        <v>429</v>
      </c>
    </row>
    <row r="204" spans="1:3">
      <c r="A204" s="56" t="str">
        <f t="shared" si="4"/>
        <v>Functional</v>
      </c>
      <c r="B204" s="306" t="s">
        <v>430</v>
      </c>
      <c r="C204" s="306" t="s">
        <v>740</v>
      </c>
    </row>
    <row r="205" spans="1:3">
      <c r="A205" s="56" t="str">
        <f t="shared" si="4"/>
        <v>Refactored</v>
      </c>
      <c r="B205" s="306" t="s">
        <v>431</v>
      </c>
      <c r="C205" s="306" t="s">
        <v>432</v>
      </c>
    </row>
    <row r="206" spans="1:3">
      <c r="A206" s="56" t="str">
        <f t="shared" si="4"/>
        <v>Last Update</v>
      </c>
      <c r="B206" s="306" t="s">
        <v>433</v>
      </c>
      <c r="C206" s="306" t="s">
        <v>434</v>
      </c>
    </row>
    <row r="207" spans="1:3">
      <c r="A207" s="56" t="str">
        <f t="shared" si="4"/>
        <v>As a</v>
      </c>
      <c r="B207" s="306" t="s">
        <v>435</v>
      </c>
      <c r="C207" s="306" t="s">
        <v>436</v>
      </c>
    </row>
    <row r="208" spans="1:3">
      <c r="A208" s="56" t="str">
        <f t="shared" si="4"/>
        <v>I want to</v>
      </c>
      <c r="B208" s="306" t="s">
        <v>437</v>
      </c>
      <c r="C208" s="306" t="s">
        <v>438</v>
      </c>
    </row>
    <row r="209" spans="1:3">
      <c r="A209" s="56" t="str">
        <f t="shared" si="4"/>
        <v>such that</v>
      </c>
      <c r="B209" s="306" t="s">
        <v>439</v>
      </c>
      <c r="C209" s="306" t="s">
        <v>440</v>
      </c>
    </row>
    <row r="210" spans="1:3">
      <c r="A210" s="56" t="str">
        <f t="shared" si="4"/>
        <v>so that</v>
      </c>
      <c r="B210" s="306" t="s">
        <v>441</v>
      </c>
      <c r="C210" s="306" t="s">
        <v>442</v>
      </c>
    </row>
    <row r="211" spans="1:3">
      <c r="A211" s="56" t="str">
        <f t="shared" si="4"/>
        <v>[functional user]</v>
      </c>
      <c r="B211" s="306" t="s">
        <v>443</v>
      </c>
      <c r="C211" s="306" t="s">
        <v>444</v>
      </c>
    </row>
    <row r="212" spans="1:3">
      <c r="A212" s="56" t="str">
        <f t="shared" ref="A212:A251" si="5">CHOOSE(SelectLanguage,B212,C212)</f>
        <v>[get something done]</v>
      </c>
      <c r="B212" s="306" t="s">
        <v>445</v>
      </c>
      <c r="C212" s="306" t="s">
        <v>446</v>
      </c>
    </row>
    <row r="213" spans="1:3">
      <c r="A213" s="56" t="str">
        <f t="shared" si="5"/>
        <v>[quality characteristic]</v>
      </c>
      <c r="B213" s="306" t="s">
        <v>447</v>
      </c>
      <c r="C213" s="306" t="s">
        <v>448</v>
      </c>
    </row>
    <row r="214" spans="1:3">
      <c r="A214" s="56" t="str">
        <f t="shared" si="5"/>
        <v>[value or benefit]</v>
      </c>
      <c r="B214" s="306" t="s">
        <v>449</v>
      </c>
      <c r="C214" s="306" t="s">
        <v>450</v>
      </c>
    </row>
    <row r="215" spans="1:3">
      <c r="A215" s="56" t="str">
        <f t="shared" si="5"/>
        <v>Completion Rate</v>
      </c>
      <c r="B215" s="306" t="s">
        <v>451</v>
      </c>
      <c r="C215" s="306" t="s">
        <v>452</v>
      </c>
    </row>
    <row r="216" spans="1:3">
      <c r="A216" s="56" t="str">
        <f t="shared" si="5"/>
        <v>Completion Weights</v>
      </c>
      <c r="B216" s="306" t="s">
        <v>453</v>
      </c>
      <c r="C216" s="306" t="s">
        <v>454</v>
      </c>
    </row>
    <row r="217" spans="1:3">
      <c r="A217" s="56" t="str">
        <f t="shared" si="5"/>
        <v xml:space="preserve">Total </v>
      </c>
      <c r="B217" s="306" t="s">
        <v>741</v>
      </c>
      <c r="C217" s="306" t="s">
        <v>742</v>
      </c>
    </row>
    <row r="218" spans="1:3">
      <c r="A218" s="56" t="str">
        <f t="shared" si="5"/>
        <v>Start Date</v>
      </c>
      <c r="B218" s="306" t="s">
        <v>455</v>
      </c>
      <c r="C218" s="306" t="s">
        <v>456</v>
      </c>
    </row>
    <row r="219" spans="1:3">
      <c r="A219" s="56" t="str">
        <f t="shared" si="5"/>
        <v>Duration</v>
      </c>
      <c r="B219" s="306" t="s">
        <v>457</v>
      </c>
      <c r="C219" s="306" t="s">
        <v>458</v>
      </c>
    </row>
    <row r="220" spans="1:3">
      <c r="A220" s="56" t="str">
        <f t="shared" si="5"/>
        <v>End Date</v>
      </c>
      <c r="B220" s="306" t="s">
        <v>459</v>
      </c>
      <c r="C220" s="306" t="s">
        <v>460</v>
      </c>
    </row>
    <row r="221" spans="1:3">
      <c r="A221" s="56" t="str">
        <f t="shared" si="5"/>
        <v>Completed</v>
      </c>
      <c r="B221" s="306" t="s">
        <v>461</v>
      </c>
      <c r="C221" s="306" t="s">
        <v>462</v>
      </c>
    </row>
    <row r="222" spans="1:3">
      <c r="A222" s="56" t="str">
        <f t="shared" si="5"/>
        <v xml:space="preserve">No of </v>
      </c>
      <c r="B222" s="306" t="s">
        <v>463</v>
      </c>
      <c r="C222" s="306" t="s">
        <v>464</v>
      </c>
    </row>
    <row r="223" spans="1:3">
      <c r="A223" s="56" t="str">
        <f t="shared" si="5"/>
        <v>Key Performance Indicators for Velocity</v>
      </c>
      <c r="B223" s="306" t="s">
        <v>469</v>
      </c>
      <c r="C223" s="306" t="s">
        <v>470</v>
      </c>
    </row>
    <row r="224" spans="1:3">
      <c r="A224" s="56" t="str">
        <f t="shared" si="5"/>
        <v>Completion velocity per workday</v>
      </c>
      <c r="B224" s="306" t="s">
        <v>471</v>
      </c>
      <c r="C224" s="306" t="s">
        <v>472</v>
      </c>
    </row>
    <row r="225" spans="1:3">
      <c r="A225" s="56" t="str">
        <f t="shared" si="5"/>
        <v>Functional Size velocity per workday</v>
      </c>
      <c r="B225" s="306" t="s">
        <v>473</v>
      </c>
      <c r="C225" s="306" t="s">
        <v>474</v>
      </c>
    </row>
    <row r="226" spans="1:3">
      <c r="A226" s="56" t="str">
        <f t="shared" si="5"/>
        <v>Story Point velocity per workday</v>
      </c>
      <c r="B226" s="306" t="s">
        <v>475</v>
      </c>
      <c r="C226" s="306" t="s">
        <v>476</v>
      </c>
    </row>
    <row r="227" spans="1:3">
      <c r="A227" s="56" t="str">
        <f t="shared" si="5"/>
        <v>Effort Prediction</v>
      </c>
      <c r="B227" s="306" t="s">
        <v>743</v>
      </c>
      <c r="C227" s="306" t="s">
        <v>744</v>
      </c>
    </row>
    <row r="228" spans="1:3">
      <c r="A228" s="56" t="str">
        <f t="shared" si="5"/>
        <v>Business Impact</v>
      </c>
      <c r="B228" s="306" t="s">
        <v>738</v>
      </c>
      <c r="C228" s="306" t="s">
        <v>739</v>
      </c>
    </row>
    <row r="229" spans="1:3">
      <c r="A229" s="56" t="str">
        <f t="shared" si="5"/>
        <v>StP for FUR</v>
      </c>
      <c r="B229" s="306" t="s">
        <v>745</v>
      </c>
      <c r="C229" s="306" t="s">
        <v>746</v>
      </c>
    </row>
    <row r="230" spans="1:3">
      <c r="A230" s="56" t="str">
        <f t="shared" si="5"/>
        <v>StP for NFR</v>
      </c>
      <c r="B230" s="306" t="s">
        <v>747</v>
      </c>
      <c r="C230" s="306" t="s">
        <v>748</v>
      </c>
    </row>
    <row r="231" spans="1:3">
      <c r="A231" s="56" t="str">
        <f t="shared" si="5"/>
        <v>Vision Functional Size</v>
      </c>
      <c r="B231" s="306" t="s">
        <v>749</v>
      </c>
      <c r="C231" s="306" t="s">
        <v>750</v>
      </c>
    </row>
    <row r="232" spans="1:3">
      <c r="A232" s="56" t="str">
        <f t="shared" si="5"/>
        <v>Total Functionality Implemented</v>
      </c>
      <c r="B232" s="306" t="s">
        <v>751</v>
      </c>
      <c r="C232" s="306" t="s">
        <v>752</v>
      </c>
    </row>
    <row r="233" spans="1:3">
      <c r="A233" s="56" t="str">
        <f t="shared" si="5"/>
        <v>Average Refactoring Count</v>
      </c>
      <c r="B233" s="306" t="s">
        <v>753</v>
      </c>
      <c r="C233" s="306" t="s">
        <v>754</v>
      </c>
    </row>
    <row r="234" spans="1:3">
      <c r="A234" s="56" t="str">
        <f t="shared" si="5"/>
        <v>Story Points</v>
      </c>
      <c r="B234" s="306" t="s">
        <v>755</v>
      </c>
      <c r="C234" s="306" t="s">
        <v>755</v>
      </c>
    </row>
    <row r="235" spans="1:3">
      <c r="A235" s="56" t="str">
        <f t="shared" si="5"/>
        <v>Overall Duration</v>
      </c>
      <c r="B235" s="306" t="s">
        <v>756</v>
      </c>
      <c r="C235" s="306" t="s">
        <v>757</v>
      </c>
    </row>
    <row r="236" spans="1:3">
      <c r="A236" s="56" t="str">
        <f t="shared" si="5"/>
        <v>Hours per Day</v>
      </c>
      <c r="B236" s="306" t="s">
        <v>758</v>
      </c>
      <c r="C236" s="306" t="s">
        <v>759</v>
      </c>
    </row>
    <row r="237" spans="1:3">
      <c r="A237" s="56" t="str">
        <f t="shared" si="5"/>
        <v>Project Delivery Rate (PDR)</v>
      </c>
      <c r="B237" s="306" t="s">
        <v>760</v>
      </c>
      <c r="C237" s="306" t="s">
        <v>761</v>
      </c>
    </row>
    <row r="238" spans="1:3">
      <c r="A238" s="56" t="str">
        <f t="shared" si="5"/>
        <v>NFR Extension Factor (CFP/Impact)</v>
      </c>
      <c r="B238" s="306" t="s">
        <v>762</v>
      </c>
      <c r="C238" s="306" t="s">
        <v>763</v>
      </c>
    </row>
    <row r="239" spans="1:3">
      <c r="A239" s="56" t="str">
        <f t="shared" si="5"/>
        <v>Impact</v>
      </c>
      <c r="B239" s="306" t="s">
        <v>764</v>
      </c>
      <c r="C239" s="306" t="s">
        <v>765</v>
      </c>
    </row>
    <row r="240" spans="1:3">
      <c r="A240" s="56" t="str">
        <f t="shared" si="5"/>
        <v xml:space="preserve">Predicted </v>
      </c>
      <c r="B240" s="306" t="s">
        <v>766</v>
      </c>
      <c r="C240" s="306" t="s">
        <v>767</v>
      </c>
    </row>
    <row r="241" spans="1:3">
      <c r="A241" s="56" t="str">
        <f t="shared" si="5"/>
        <v>Reference</v>
      </c>
      <c r="B241" s="306" t="s">
        <v>768</v>
      </c>
      <c r="C241" s="306" t="s">
        <v>769</v>
      </c>
    </row>
    <row r="242" spans="1:3">
      <c r="A242" s="56" t="str">
        <f t="shared" si="5"/>
        <v>Manual</v>
      </c>
      <c r="B242" s="306" t="s">
        <v>770</v>
      </c>
      <c r="C242" s="306" t="s">
        <v>771</v>
      </c>
    </row>
    <row r="243" spans="1:3">
      <c r="A243" s="56" t="str">
        <f t="shared" si="5"/>
        <v>Selected</v>
      </c>
      <c r="B243" s="306" t="s">
        <v>772</v>
      </c>
      <c r="C243" s="306" t="s">
        <v>773</v>
      </c>
    </row>
    <row r="244" spans="1:3">
      <c r="A244" s="56" t="str">
        <f t="shared" si="5"/>
        <v>Team Power</v>
      </c>
      <c r="B244" s="306" t="s">
        <v>774</v>
      </c>
      <c r="C244" s="306" t="s">
        <v>775</v>
      </c>
    </row>
    <row r="245" spans="1:3">
      <c r="A245" s="56" t="str">
        <f t="shared" si="5"/>
        <v>Average Sprint Duration</v>
      </c>
      <c r="B245" s="306" t="s">
        <v>776</v>
      </c>
      <c r="C245" s="306" t="s">
        <v>777</v>
      </c>
    </row>
    <row r="246" spans="1:3">
      <c r="A246" s="56" t="str">
        <f t="shared" si="5"/>
        <v>Functionality</v>
      </c>
      <c r="B246" s="306" t="s">
        <v>778</v>
      </c>
      <c r="C246" s="306" t="s">
        <v>779</v>
      </c>
    </row>
    <row r="247" spans="1:3">
      <c r="A247" s="56" t="str">
        <f t="shared" si="5"/>
        <v>Non-functional</v>
      </c>
      <c r="B247" s="306" t="s">
        <v>780</v>
      </c>
      <c r="C247" s="306" t="s">
        <v>781</v>
      </c>
    </row>
    <row r="248" spans="1:3">
      <c r="A248" s="56" t="str">
        <f t="shared" si="5"/>
        <v>FUR Size</v>
      </c>
      <c r="B248" s="306" t="s">
        <v>782</v>
      </c>
      <c r="C248" s="306" t="s">
        <v>783</v>
      </c>
    </row>
    <row r="249" spans="1:3">
      <c r="A249" s="56" t="str">
        <f t="shared" si="5"/>
        <v>NFR Size</v>
      </c>
      <c r="B249" s="306" t="s">
        <v>784</v>
      </c>
      <c r="C249" s="306" t="s">
        <v>785</v>
      </c>
    </row>
    <row r="250" spans="1:3">
      <c r="A250" s="56" t="str">
        <f t="shared" si="5"/>
        <v>Hours</v>
      </c>
      <c r="B250" s="306" t="s">
        <v>786</v>
      </c>
      <c r="C250" s="306" t="s">
        <v>787</v>
      </c>
    </row>
    <row r="251" spans="1:3">
      <c r="A251" s="56" t="str">
        <f t="shared" si="5"/>
        <v>Project</v>
      </c>
      <c r="B251" s="306" t="s">
        <v>788</v>
      </c>
      <c r="C251" s="306" t="s">
        <v>789</v>
      </c>
    </row>
  </sheetData>
  <sheetProtection sheet="1" objects="1" scenarios="1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376</vt:i4>
      </vt:variant>
    </vt:vector>
  </HeadingPairs>
  <TitlesOfParts>
    <vt:vector size="386" baseType="lpstr">
      <vt:lpstr>Goal Interface</vt:lpstr>
      <vt:lpstr>Size Interface</vt:lpstr>
      <vt:lpstr>Size Interface BW</vt:lpstr>
      <vt:lpstr>FURs Measured</vt:lpstr>
      <vt:lpstr>FUR Combinator</vt:lpstr>
      <vt:lpstr>FUR Combinator sorted</vt:lpstr>
      <vt:lpstr>FUR Combinator BW</vt:lpstr>
      <vt:lpstr>Data Movements</vt:lpstr>
      <vt:lpstr>Counting Sheet</vt:lpstr>
      <vt:lpstr>Translation</vt:lpstr>
      <vt:lpstr>Translation!_after_Introduction</vt:lpstr>
      <vt:lpstr>Translation!_and_</vt:lpstr>
      <vt:lpstr>Translation!_for_</vt:lpstr>
      <vt:lpstr>Translation!_of_</vt:lpstr>
      <vt:lpstr>Translation!_Strength</vt:lpstr>
      <vt:lpstr>Translation!Acceptance_Test_Methods</vt:lpstr>
      <vt:lpstr>Translation!Account_Managers_Opinion</vt:lpstr>
      <vt:lpstr>Translation!Achieved_Profile</vt:lpstr>
      <vt:lpstr>Translation!Achieved_Profile_of_</vt:lpstr>
      <vt:lpstr>Translation!ActionOutcome</vt:lpstr>
      <vt:lpstr>ActionOutcome</vt:lpstr>
      <vt:lpstr>Translation!Actual_</vt:lpstr>
      <vt:lpstr>Translation!Actual_Average_CMM_Level</vt:lpstr>
      <vt:lpstr>Translation!Actual_Effect_Profile</vt:lpstr>
      <vt:lpstr>Translation!Actual_Effect_Profile_of_</vt:lpstr>
      <vt:lpstr>Translation!Advantage</vt:lpstr>
      <vt:lpstr>Translation!AHP_Analyse</vt:lpstr>
      <vt:lpstr>Translation!AHP_Priorities</vt:lpstr>
      <vt:lpstr>Translation!AHP_Summary</vt:lpstr>
      <vt:lpstr>Translation!Application_Test_Methods</vt:lpstr>
      <vt:lpstr>Translation!Approved</vt:lpstr>
      <vt:lpstr>Translation!As_a</vt:lpstr>
      <vt:lpstr>'FURs Measured'!Attributes</vt:lpstr>
      <vt:lpstr>'Goal Interface'!Attributes</vt:lpstr>
      <vt:lpstr>'Size Interface'!Attributes</vt:lpstr>
      <vt:lpstr>'Size Interface BW'!Attributes</vt:lpstr>
      <vt:lpstr>Translation!Attributes</vt:lpstr>
      <vt:lpstr>Translation!Average_Refactoring_Count</vt:lpstr>
      <vt:lpstr>Translation!Average_Sprint_Duration</vt:lpstr>
      <vt:lpstr>Translation!Best_Approximation</vt:lpstr>
      <vt:lpstr>Translation!Better_than_Competition</vt:lpstr>
      <vt:lpstr>'FUR Combinator'!BottomRight</vt:lpstr>
      <vt:lpstr>'FUR Combinator sorted'!BottomRight</vt:lpstr>
      <vt:lpstr>Translation!Bug_Profile</vt:lpstr>
      <vt:lpstr>Translation!Bugs_found</vt:lpstr>
      <vt:lpstr>Translation!Bugs_per_CFP</vt:lpstr>
      <vt:lpstr>Translation!Bugs_per_FP</vt:lpstr>
      <vt:lpstr>Translation!Business_Drivers</vt:lpstr>
      <vt:lpstr>Translation!Business_Impact</vt:lpstr>
      <vt:lpstr>Translation!Business_Scenarios</vt:lpstr>
      <vt:lpstr>Translation!Call_back_Customer_enthusiastic</vt:lpstr>
      <vt:lpstr>Translation!Call_back_Customer_happy</vt:lpstr>
      <vt:lpstr>Translation!Call_back_Customer_satisfied</vt:lpstr>
      <vt:lpstr>Translation!Call_back_Escalation_done</vt:lpstr>
      <vt:lpstr>'Data Movements'!CFP</vt:lpstr>
      <vt:lpstr>'Data Movements'!CFP_E</vt:lpstr>
      <vt:lpstr>'Data Movements'!CFP_Flag</vt:lpstr>
      <vt:lpstr>'Data Movements'!CFP_Movs</vt:lpstr>
      <vt:lpstr>'Data Movements'!CFP_R</vt:lpstr>
      <vt:lpstr>'Data Movements'!CFP_Tags</vt:lpstr>
      <vt:lpstr>'Data Movements'!CFP_W</vt:lpstr>
      <vt:lpstr>'Data Movements'!CFP_X</vt:lpstr>
      <vt:lpstr>Translation!Combined_from_NPS_Survey</vt:lpstr>
      <vt:lpstr>Translation!Combined_Profile</vt:lpstr>
      <vt:lpstr>Translation!Competition_Average_Raw_Weight</vt:lpstr>
      <vt:lpstr>Translation!Competitions_Achievement_Profile</vt:lpstr>
      <vt:lpstr>Translation!Competitive_Disadvantage</vt:lpstr>
      <vt:lpstr>Translation!Competitive_Positioning</vt:lpstr>
      <vt:lpstr>Translation!Competitive_Solution_Yellow</vt:lpstr>
      <vt:lpstr>Translation!Complaints_Wishes</vt:lpstr>
      <vt:lpstr>Translation!Completed</vt:lpstr>
      <vt:lpstr>Translation!Completion_Rate</vt:lpstr>
      <vt:lpstr>Translation!Completion_velocity_per_workday</vt:lpstr>
      <vt:lpstr>Translation!Completion_Weights</vt:lpstr>
      <vt:lpstr>Translation!Confidence_Interval</vt:lpstr>
      <vt:lpstr>'FUR Combinator'!ConfidenceInterval</vt:lpstr>
      <vt:lpstr>'FUR Combinator sorted'!ConfidenceInterval</vt:lpstr>
      <vt:lpstr>Translation!Confirmed</vt:lpstr>
      <vt:lpstr>'FUR Combinator'!ControlsGraphArea</vt:lpstr>
      <vt:lpstr>'FUR Combinator BW'!ControlsGraphArea</vt:lpstr>
      <vt:lpstr>'FUR Combinator sorted'!ControlsGraphArea</vt:lpstr>
      <vt:lpstr>Translation!Convergence_Factor</vt:lpstr>
      <vt:lpstr>Translation!Convergence_Gap</vt:lpstr>
      <vt:lpstr>Translation!Convergence_Limit</vt:lpstr>
      <vt:lpstr>Translation!Convergence_Limit_</vt:lpstr>
      <vt:lpstr>Translation!Convergence_Range</vt:lpstr>
      <vt:lpstr>'FUR Combinator'!ConvergenceFactor</vt:lpstr>
      <vt:lpstr>'FUR Combinator BW'!ConvergenceFactor</vt:lpstr>
      <vt:lpstr>'FUR Combinator sorted'!ConvergenceFactor</vt:lpstr>
      <vt:lpstr>'FUR Combinator'!ConvergenceLimit</vt:lpstr>
      <vt:lpstr>'FUR Combinator sorted'!ConvergenceLimit</vt:lpstr>
      <vt:lpstr>'FUR Combinator'!ConvergenceRange</vt:lpstr>
      <vt:lpstr>'FUR Combinator sorted'!ConvergenceRange</vt:lpstr>
      <vt:lpstr>Translation!Cost</vt:lpstr>
      <vt:lpstr>Translation!Cost_Prediction</vt:lpstr>
      <vt:lpstr>Translation!Cost_Profile</vt:lpstr>
      <vt:lpstr>Translation!Count</vt:lpstr>
      <vt:lpstr>Translation!Critical_To_Quality</vt:lpstr>
      <vt:lpstr>Translation!Current_Status</vt:lpstr>
      <vt:lpstr>Translation!Customer_Questionnaire</vt:lpstr>
      <vt:lpstr>Translation!Customer_Segments</vt:lpstr>
      <vt:lpstr>Translation!Customers_Needs</vt:lpstr>
      <vt:lpstr>Translation!Data_Movement</vt:lpstr>
      <vt:lpstr>Translation!Data_Movements_Affected</vt:lpstr>
      <vt:lpstr>Translation!Data_Movements_Covered_by_Test_Cases</vt:lpstr>
      <vt:lpstr>Translation!Data_Movements_in_Total</vt:lpstr>
      <vt:lpstr>'Data Movements'!DataIndex</vt:lpstr>
      <vt:lpstr>DataMovements_ValidationList</vt:lpstr>
      <vt:lpstr>Translation!Defect_Class</vt:lpstr>
      <vt:lpstr>Translation!Defect_Count</vt:lpstr>
      <vt:lpstr>Translation!Defect_Density</vt:lpstr>
      <vt:lpstr>Translation!Defect_Identification</vt:lpstr>
      <vt:lpstr>Translation!Defect_Profile</vt:lpstr>
      <vt:lpstr>Translation!Defect_Recording</vt:lpstr>
      <vt:lpstr>Translation!Defect_Resolution</vt:lpstr>
      <vt:lpstr>Translation!Defect_Status</vt:lpstr>
      <vt:lpstr>Translation!Defects_found</vt:lpstr>
      <vt:lpstr>Translation!Defects_Found_in_Total</vt:lpstr>
      <vt:lpstr>Translation!Defects_Found_Removed</vt:lpstr>
      <vt:lpstr>Translation!Defects_Observed</vt:lpstr>
      <vt:lpstr>Translation!Defects_Pending_for_Removal</vt:lpstr>
      <vt:lpstr>Translation!Defects_per_CFP</vt:lpstr>
      <vt:lpstr>Translation!Deferred</vt:lpstr>
      <vt:lpstr>Translation!dependent_from_Function_Points</vt:lpstr>
      <vt:lpstr>Translation!Deployment_Combinator</vt:lpstr>
      <vt:lpstr>'Data Movements'!Description</vt:lpstr>
      <vt:lpstr>Translation!Description</vt:lpstr>
      <vt:lpstr>Translation!Detected_Defects</vt:lpstr>
      <vt:lpstr>Translation!Detecting_Defect</vt:lpstr>
      <vt:lpstr>Translation!Detecting_Defects</vt:lpstr>
      <vt:lpstr>Translation!Detecting_Fault</vt:lpstr>
      <vt:lpstr>Translation!Developer</vt:lpstr>
      <vt:lpstr>Translation!Developers_Comments</vt:lpstr>
      <vt:lpstr>Translation!Development_Team</vt:lpstr>
      <vt:lpstr>Translation!Disadvantage</vt:lpstr>
      <vt:lpstr>Translation!Done</vt:lpstr>
      <vt:lpstr>Translation!Draft_ready</vt:lpstr>
      <vt:lpstr>Translation!Duration</vt:lpstr>
      <vt:lpstr>Translation!Effect_Deviation</vt:lpstr>
      <vt:lpstr>Translation!Effective_Coverage</vt:lpstr>
      <vt:lpstr>Translation!Effective_Profile</vt:lpstr>
      <vt:lpstr>'FUR Combinator'!EffectiveResponse</vt:lpstr>
      <vt:lpstr>'FUR Combinator sorted'!EffectiveResponse</vt:lpstr>
      <vt:lpstr>Translation!Effort</vt:lpstr>
      <vt:lpstr>Translation!eMail</vt:lpstr>
      <vt:lpstr>Translation!End_Date</vt:lpstr>
      <vt:lpstr>Translation!Essential</vt:lpstr>
      <vt:lpstr>Translation!Executing_this_Data_Movement</vt:lpstr>
      <vt:lpstr>Translation!Expected</vt:lpstr>
      <vt:lpstr>'FUR Combinator'!ExpectedResponse</vt:lpstr>
      <vt:lpstr>'FUR Combinator sorted'!ExpectedResponse</vt:lpstr>
      <vt:lpstr>Translation!Explained_Profile</vt:lpstr>
      <vt:lpstr>Translation!Fault_Class</vt:lpstr>
      <vt:lpstr>Translation!Fault_Recording</vt:lpstr>
      <vt:lpstr>Translation!Fault_Resolution</vt:lpstr>
      <vt:lpstr>Translation!Fault_Status</vt:lpstr>
      <vt:lpstr>FaultClassification</vt:lpstr>
      <vt:lpstr>Translation!Faults_Observed</vt:lpstr>
      <vt:lpstr>FaultStatus</vt:lpstr>
      <vt:lpstr>Translation!Feature_Test_Methods</vt:lpstr>
      <vt:lpstr>Translation!Features</vt:lpstr>
      <vt:lpstr>Translation!Finalized</vt:lpstr>
      <vt:lpstr>'Data Movements'!FormulaStore</vt:lpstr>
      <vt:lpstr>Translation!Full_Name</vt:lpstr>
      <vt:lpstr>Translation!Function_Points_FP_covered</vt:lpstr>
      <vt:lpstr>Translation!Functional</vt:lpstr>
      <vt:lpstr>Translation!Functional_Coverage</vt:lpstr>
      <vt:lpstr>Translation!Functional_Size_velocity_per_workday</vt:lpstr>
      <vt:lpstr>Translation!Functional_Sizing</vt:lpstr>
      <vt:lpstr>Translation!functional_user</vt:lpstr>
      <vt:lpstr>Translation!Functionality</vt:lpstr>
      <vt:lpstr>Translation!Functionality_CFP_covered</vt:lpstr>
      <vt:lpstr>'Data Movements'!FunctionalProcess</vt:lpstr>
      <vt:lpstr>Translation!FUR_Size</vt:lpstr>
      <vt:lpstr>'Size Interface'!FurList</vt:lpstr>
      <vt:lpstr>Translation!Gap</vt:lpstr>
      <vt:lpstr>Translation!get_something_done</vt:lpstr>
      <vt:lpstr>Translation!Global</vt:lpstr>
      <vt:lpstr>Translation!Goal_Profile</vt:lpstr>
      <vt:lpstr>Translation!Goal_Test_Coverage</vt:lpstr>
      <vt:lpstr>'FURs Measured'!GoalProfile</vt:lpstr>
      <vt:lpstr>'Goal Interface'!GoalProfile</vt:lpstr>
      <vt:lpstr>'Size Interface'!GoalProfile</vt:lpstr>
      <vt:lpstr>'Size Interface BW'!GoalProfile</vt:lpstr>
      <vt:lpstr>'FUR Combinator'!GoalTopic</vt:lpstr>
      <vt:lpstr>'FUR Combinator BW'!GoalTopic</vt:lpstr>
      <vt:lpstr>'FUR Combinator sorted'!GoalTopic</vt:lpstr>
      <vt:lpstr>'FURs Measured'!GoalTopic</vt:lpstr>
      <vt:lpstr>'Goal Interface'!GoalTopic</vt:lpstr>
      <vt:lpstr>'Size Interface'!GoalTopic</vt:lpstr>
      <vt:lpstr>'Size Interface BW'!GoalTopic</vt:lpstr>
      <vt:lpstr>Translation!Good</vt:lpstr>
      <vt:lpstr>Translation!Hours</vt:lpstr>
      <vt:lpstr>Translation!Hours_per_Day</vt:lpstr>
      <vt:lpstr>Translation!I_want_to</vt:lpstr>
      <vt:lpstr>Translation!Ideal_Profile</vt:lpstr>
      <vt:lpstr>Translation!Impact</vt:lpstr>
      <vt:lpstr>Translation!Impact_on_</vt:lpstr>
      <vt:lpstr>Translation!Importance</vt:lpstr>
      <vt:lpstr>Translation!Importance_Weight</vt:lpstr>
      <vt:lpstr>Translation!Important</vt:lpstr>
      <vt:lpstr>Translation!Improvement_Factor</vt:lpstr>
      <vt:lpstr>Translation!In_Progress</vt:lpstr>
      <vt:lpstr>Translation!Initial_Guess</vt:lpstr>
      <vt:lpstr>Translation!Interface_to_COSMIC_Count</vt:lpstr>
      <vt:lpstr>Translation!Interface_to_Goal_Profile</vt:lpstr>
      <vt:lpstr>Translation!Kano_Analysis</vt:lpstr>
      <vt:lpstr>Translation!Kano_Profile</vt:lpstr>
      <vt:lpstr>Translation!Key_Performance_Indicators_for_Velocity</vt:lpstr>
      <vt:lpstr>Translation!Key_Process_Areas</vt:lpstr>
      <vt:lpstr>Translation!L_All_Fine</vt:lpstr>
      <vt:lpstr>Translation!L_Fatal</vt:lpstr>
      <vt:lpstr>Translation!L_Fatal_Fault</vt:lpstr>
      <vt:lpstr>Translation!L_Important</vt:lpstr>
      <vt:lpstr>Translation!L_Important_Fault</vt:lpstr>
      <vt:lpstr>Translation!L_Major</vt:lpstr>
      <vt:lpstr>Translation!L_Major_Fault</vt:lpstr>
      <vt:lpstr>Translation!L_Minor</vt:lpstr>
      <vt:lpstr>Translation!L_Minor_Fault</vt:lpstr>
      <vt:lpstr>Translation!L_Wish</vt:lpstr>
      <vt:lpstr>'Data Movements'!Label</vt:lpstr>
      <vt:lpstr>Translation!Label</vt:lpstr>
      <vt:lpstr>Translation!Lanchester_Profile</vt:lpstr>
      <vt:lpstr>Translation!Language</vt:lpstr>
      <vt:lpstr>LanguageUpdate</vt:lpstr>
      <vt:lpstr>Translation!Last_Update</vt:lpstr>
      <vt:lpstr>'Data Movements'!LastIndex</vt:lpstr>
      <vt:lpstr>Translation!Local</vt:lpstr>
      <vt:lpstr>Translation!Management_Adjustments</vt:lpstr>
      <vt:lpstr>Translation!Manual</vt:lpstr>
      <vt:lpstr>Translation!Manual_Entry</vt:lpstr>
      <vt:lpstr>Translation!Market_Preferences_Orange</vt:lpstr>
      <vt:lpstr>Translation!Market_Segments</vt:lpstr>
      <vt:lpstr>Translation!Market_Share_as_expected</vt:lpstr>
      <vt:lpstr>Translation!Market_Share_as_of_today</vt:lpstr>
      <vt:lpstr>Translation!Market_Share_Competition</vt:lpstr>
      <vt:lpstr>Translation!Market_Signal</vt:lpstr>
      <vt:lpstr>Translation!Matrix_is_too_complicated</vt:lpstr>
      <vt:lpstr>'FUR Combinator'!MaximumConvergence</vt:lpstr>
      <vt:lpstr>'FUR Combinator BW'!MaximumConvergence</vt:lpstr>
      <vt:lpstr>'FUR Combinator sorted'!MaximumConvergence</vt:lpstr>
      <vt:lpstr>'FUR Combinator'!MaximumWeight</vt:lpstr>
      <vt:lpstr>Translation!Measured</vt:lpstr>
      <vt:lpstr>Translation!Measured_Coverage</vt:lpstr>
      <vt:lpstr>Translation!Measured_Impact</vt:lpstr>
      <vt:lpstr>Translation!Measured_Profile_of_</vt:lpstr>
      <vt:lpstr>Translation!Measurement_Confidence</vt:lpstr>
      <vt:lpstr>'Data Movements'!Name</vt:lpstr>
      <vt:lpstr>Translation!Name</vt:lpstr>
      <vt:lpstr>Translation!Needs_Analysis_Combinator</vt:lpstr>
      <vt:lpstr>Translation!New_Lanchester_Profile</vt:lpstr>
      <vt:lpstr>Translation!New_Target_Solution_Green</vt:lpstr>
      <vt:lpstr>Translation!NFR_Extension_Factor_CFPImpact</vt:lpstr>
      <vt:lpstr>Translation!NFR_Size</vt:lpstr>
      <vt:lpstr>Translation!Nice_To_Have</vt:lpstr>
      <vt:lpstr>Translation!Nickname</vt:lpstr>
      <vt:lpstr>Translation!No</vt:lpstr>
      <vt:lpstr>Translation!No_action_taken</vt:lpstr>
      <vt:lpstr>Translation!No_of_</vt:lpstr>
      <vt:lpstr>Translation!No_of_references_made</vt:lpstr>
      <vt:lpstr>Translation!Nonfunctional</vt:lpstr>
      <vt:lpstr>Translation!Normalized_Profile</vt:lpstr>
      <vt:lpstr>Translation!Not_Important</vt:lpstr>
      <vt:lpstr>Translation!not_taking_story_cards</vt:lpstr>
      <vt:lpstr>'Data Movements'!ObjectReference</vt:lpstr>
      <vt:lpstr>Translation!OK</vt:lpstr>
      <vt:lpstr>Translation!Old_Lanchester_Profile</vt:lpstr>
      <vt:lpstr>Translation!Old_Lanchester_Profile_raw</vt:lpstr>
      <vt:lpstr>Translation!Opportunities</vt:lpstr>
      <vt:lpstr>Translation!Our_Achievement_Profile</vt:lpstr>
      <vt:lpstr>Translation!Our_Adjusted_Achievement_Profile</vt:lpstr>
      <vt:lpstr>Translation!Our_Adjusted_Lanchester_Profile</vt:lpstr>
      <vt:lpstr>Translation!Our_Adjusted_Profile</vt:lpstr>
      <vt:lpstr>Translation!Our_Adjusted_Weight</vt:lpstr>
      <vt:lpstr>Translation!Our_Raw_Weight</vt:lpstr>
      <vt:lpstr>Translation!Overall_Duration</vt:lpstr>
      <vt:lpstr>Translation!Overall_NPS</vt:lpstr>
      <vt:lpstr>Translation!Perceived_</vt:lpstr>
      <vt:lpstr>Translation!Percentile</vt:lpstr>
      <vt:lpstr>Percentile</vt:lpstr>
      <vt:lpstr>Translation!Planned_Status</vt:lpstr>
      <vt:lpstr>Translation!Planning_Profile</vt:lpstr>
      <vt:lpstr>Translation!Poor</vt:lpstr>
      <vt:lpstr>Translation!Predicted_</vt:lpstr>
      <vt:lpstr>Translation!Press_here_to_check_matrix</vt:lpstr>
      <vt:lpstr>Translation!Priority</vt:lpstr>
      <vt:lpstr>Translation!Process_Capability</vt:lpstr>
      <vt:lpstr>Translation!Process_Maturity_Gap</vt:lpstr>
      <vt:lpstr>Translation!Product_Characteristics</vt:lpstr>
      <vt:lpstr>Translation!Productname_Dark_Green</vt:lpstr>
      <vt:lpstr>Translation!Profile</vt:lpstr>
      <vt:lpstr>Translation!Project</vt:lpstr>
      <vt:lpstr>Translation!Project_Delivery_Rate_PDR</vt:lpstr>
      <vt:lpstr>Translation!quality_characteristic</vt:lpstr>
      <vt:lpstr>Translation!Ranking</vt:lpstr>
      <vt:lpstr>Translation!Raw_Profile</vt:lpstr>
      <vt:lpstr>Translation!Reason_for_Buying</vt:lpstr>
      <vt:lpstr>Translation!Reason_for_Using</vt:lpstr>
      <vt:lpstr>Translation!Refactored</vt:lpstr>
      <vt:lpstr>Translation!Reference</vt:lpstr>
      <vt:lpstr>Translation!relative_to_Market_Strength</vt:lpstr>
      <vt:lpstr>Translation!relative_to_Weapons_Strength</vt:lpstr>
      <vt:lpstr>Translation!Requirement</vt:lpstr>
      <vt:lpstr>Translation!Resolved</vt:lpstr>
      <vt:lpstr>Translation!Response_Profile</vt:lpstr>
      <vt:lpstr>'FUR Combinator'!ResponseGraphArea</vt:lpstr>
      <vt:lpstr>'FUR Combinator BW'!ResponseGraphArea</vt:lpstr>
      <vt:lpstr>'FUR Combinator sorted'!ResponseGraphArea</vt:lpstr>
      <vt:lpstr>'FURs Measured'!ResponseGraphArea</vt:lpstr>
      <vt:lpstr>'Goal Interface'!ResponseGraphArea</vt:lpstr>
      <vt:lpstr>'Size Interface'!ResponseGraphArea</vt:lpstr>
      <vt:lpstr>'Size Interface BW'!ResponseGraphArea</vt:lpstr>
      <vt:lpstr>Translation!Responsible</vt:lpstr>
      <vt:lpstr>Translation!Review_done</vt:lpstr>
      <vt:lpstr>Translation!Risk_Profile</vt:lpstr>
      <vt:lpstr>Translation!Risks</vt:lpstr>
      <vt:lpstr>Translation!Role</vt:lpstr>
      <vt:lpstr>Translation!Sales_Points</vt:lpstr>
      <vt:lpstr>Translation!Satisfaction</vt:lpstr>
      <vt:lpstr>Translation!Scheduled_for</vt:lpstr>
      <vt:lpstr>Translation!Score</vt:lpstr>
      <vt:lpstr>Translation!Select_Improvement_Ratio</vt:lpstr>
      <vt:lpstr>Translation!Selected</vt:lpstr>
      <vt:lpstr>Translation!SelectLanguage</vt:lpstr>
      <vt:lpstr>SelectLanguage</vt:lpstr>
      <vt:lpstr>SelectLanguage_ValidationList</vt:lpstr>
      <vt:lpstr>Translation!Set_maximum_CMM_level_for_best_process</vt:lpstr>
      <vt:lpstr>'FUR Combinator'!SignalCells</vt:lpstr>
      <vt:lpstr>'FUR Combinator sorted'!SignalCells</vt:lpstr>
      <vt:lpstr>Translation!Six_Steps_to_Completion</vt:lpstr>
      <vt:lpstr>Translation!Size</vt:lpstr>
      <vt:lpstr>Translation!so_that</vt:lpstr>
      <vt:lpstr>Translation!Solution_Profile</vt:lpstr>
      <vt:lpstr>'FUR Combinator'!SolutionControls</vt:lpstr>
      <vt:lpstr>'FUR Combinator BW'!SolutionControls</vt:lpstr>
      <vt:lpstr>'FUR Combinator sorted'!SolutionControls</vt:lpstr>
      <vt:lpstr>'FUR Combinator'!SolutionTopic</vt:lpstr>
      <vt:lpstr>'FUR Combinator BW'!SolutionTopic</vt:lpstr>
      <vt:lpstr>'FUR Combinator sorted'!SolutionTopic</vt:lpstr>
      <vt:lpstr>'FURs Measured'!SolutionTopic</vt:lpstr>
      <vt:lpstr>Translation!Sorted</vt:lpstr>
      <vt:lpstr>'Goal Interface'!SourceFile</vt:lpstr>
      <vt:lpstr>'Size Interface'!SourceFile</vt:lpstr>
      <vt:lpstr>'Size Interface BW'!SourceFile</vt:lpstr>
      <vt:lpstr>'Goal Interface'!SourceSheet</vt:lpstr>
      <vt:lpstr>Translation!Sponsors_Stakeholders</vt:lpstr>
      <vt:lpstr>Translation!Start_Date</vt:lpstr>
      <vt:lpstr>'Goal Interface'!StartCol</vt:lpstr>
      <vt:lpstr>Translation!Story_Point_velocity_per_workday</vt:lpstr>
      <vt:lpstr>Translation!Story_Points</vt:lpstr>
      <vt:lpstr>Translation!StP_for_FUR</vt:lpstr>
      <vt:lpstr>Translation!StP_for_NFR</vt:lpstr>
      <vt:lpstr>Translation!such_that</vt:lpstr>
      <vt:lpstr>Translation!Suitable_For_Measurement</vt:lpstr>
      <vt:lpstr>Translation!Target_</vt:lpstr>
      <vt:lpstr>Translation!Target_Average_CMM_Level</vt:lpstr>
      <vt:lpstr>Translation!Team_Power</vt:lpstr>
      <vt:lpstr>Translation!Test_Case_Identifier</vt:lpstr>
      <vt:lpstr>Translation!Test_Cases</vt:lpstr>
      <vt:lpstr>Translation!Test_Coverage</vt:lpstr>
      <vt:lpstr>Translation!Test_Effectiveness</vt:lpstr>
      <vt:lpstr>Translation!Test_Intensity</vt:lpstr>
      <vt:lpstr>Translation!Test_ready</vt:lpstr>
      <vt:lpstr>Translation!Test_Size</vt:lpstr>
      <vt:lpstr>Translation!Test_Status_Summary</vt:lpstr>
      <vt:lpstr>Translation!There_are_linear_dependencies</vt:lpstr>
      <vt:lpstr>Translation!Top</vt:lpstr>
      <vt:lpstr>Translation!Top_Processes</vt:lpstr>
      <vt:lpstr>Translation!Topics</vt:lpstr>
      <vt:lpstr>Translation!Total</vt:lpstr>
      <vt:lpstr>Translation!Total_Functionality_Implemented</vt:lpstr>
      <vt:lpstr>Translation!Transfer_Function</vt:lpstr>
      <vt:lpstr>'FUR Combinator'!TransferFunction</vt:lpstr>
      <vt:lpstr>'FUR Combinator BW'!TransferFunction</vt:lpstr>
      <vt:lpstr>'FUR Combinator sorted'!TransferFunction</vt:lpstr>
      <vt:lpstr>'FURs Measured'!TransferFunction</vt:lpstr>
      <vt:lpstr>'Data Movements'!TriggerPosition</vt:lpstr>
      <vt:lpstr>Translation!Under_Test</vt:lpstr>
      <vt:lpstr>Translation!value_or_benefit</vt:lpstr>
      <vt:lpstr>Translation!Vision_Functional_Size</vt:lpstr>
      <vt:lpstr>Translation!VoC_Input</vt:lpstr>
      <vt:lpstr>Translation!Waiting</vt:lpstr>
      <vt:lpstr>Translation!Weight</vt:lpstr>
      <vt:lpstr>Translation!With_New_Product</vt:lpstr>
      <vt:lpstr>Translation!Yes</vt:lpstr>
      <vt:lpstr>YesNo</vt:lpstr>
    </vt:vector>
  </TitlesOfParts>
  <Company>Euro Project Office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QFD FUR Deployment</dc:title>
  <dc:subject>Faschina Platform</dc:subject>
  <dc:creator>Thomas Fehlmann</dc:creator>
  <cp:keywords>Lean Six Sigma; QFD; Functional Sizing</cp:keywords>
  <dc:description>V5.3.1 - 10-Nov-2015</dc:description>
  <cp:lastModifiedBy>Thomas Fehlmann</cp:lastModifiedBy>
  <cp:revision>1</cp:revision>
  <dcterms:created xsi:type="dcterms:W3CDTF">2013-03-25T08:07:09Z</dcterms:created>
  <dcterms:modified xsi:type="dcterms:W3CDTF">2016-03-04T06:31:20Z</dcterms:modified>
  <cp:category>Six Sigma;QFD Toolset</cp:category>
  <cp:contentStatus>V5.3</cp:contentStatus>
  <cp:version>V5.3.1 - 10-Nov-2015</cp:version>
</cp:coreProperties>
</file>